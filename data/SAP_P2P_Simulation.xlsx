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Material_Master" sheetId="1" state="visible" r:id="rId3"/>
    <sheet name="2_Vendor_Master" sheetId="2" state="visible" r:id="rId4"/>
    <sheet name="3_Purchasing_Info_Records" sheetId="3" state="visible" r:id="rId5"/>
    <sheet name="4_Landed_Cost_TCO" sheetId="4" state="visible" r:id="rId6"/>
    <sheet name="5_Transaction_Log" sheetId="5" state="visible" r:id="rId7"/>
    <sheet name="6_3Way_Matching_Matrix" sheetId="6" state="visible" r:id="rId8"/>
    <sheet name="7_Contract_Performance" sheetId="7" state="visible" r:id="rId9"/>
    <sheet name="8_RFQ_Evaluation_Matrix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<sst xmlns="http://schemas.openxmlformats.org/spreadsheetml/2006/main" count="831" uniqueCount="295">
  <si>
    <t xml:space="preserve">AusTrade Wholesale Distribution  |  Material Master Data  |  SAP Table: MARA/MARC  |  Plant: AU01 Melbourne DC</t>
  </si>
  <si>
    <t xml:space="preserve">Material_ID</t>
  </si>
  <si>
    <t xml:space="preserve">Description</t>
  </si>
  <si>
    <t xml:space="preserve">Category</t>
  </si>
  <si>
    <t xml:space="preserve">Plant_Code</t>
  </si>
  <si>
    <t xml:space="preserve">Storage_Location</t>
  </si>
  <si>
    <t xml:space="preserve">Unit_of_Measure</t>
  </si>
  <si>
    <t xml:space="preserve">ABC_Class</t>
  </si>
  <si>
    <t xml:space="preserve">Safety_Stock_Units</t>
  </si>
  <si>
    <t xml:space="preserve">Reorder_Point_Units</t>
  </si>
  <si>
    <t xml:space="preserve">Lead_Time_Days</t>
  </si>
  <si>
    <t xml:space="preserve">Standard_Cost_AUD</t>
  </si>
  <si>
    <t xml:space="preserve">Annual_Demand_Units</t>
  </si>
  <si>
    <t xml:space="preserve">Perishable_YN</t>
  </si>
  <si>
    <t xml:space="preserve">Storage Location</t>
  </si>
  <si>
    <t xml:space="preserve">MAT-10001</t>
  </si>
  <si>
    <t xml:space="preserve">Cable Tray 3m Galvanised</t>
  </si>
  <si>
    <t xml:space="preserve">Electrical Fittings</t>
  </si>
  <si>
    <t xml:space="preserve">AU01</t>
  </si>
  <si>
    <t xml:space="preserve">SL01</t>
  </si>
  <si>
    <t xml:space="preserve">EA</t>
  </si>
  <si>
    <t xml:space="preserve">A</t>
  </si>
  <si>
    <t xml:space="preserve">N</t>
  </si>
  <si>
    <t xml:space="preserve">General Ambient Warehouse</t>
  </si>
  <si>
    <t xml:space="preserve">MAT-10002</t>
  </si>
  <si>
    <t xml:space="preserve">PVC Conduit 20mm x 4m</t>
  </si>
  <si>
    <t xml:space="preserve">SL02</t>
  </si>
  <si>
    <t xml:space="preserve">Safety Equipment Store</t>
  </si>
  <si>
    <t xml:space="preserve">MAT-10003</t>
  </si>
  <si>
    <t xml:space="preserve">Circuit Breaker 20A</t>
  </si>
  <si>
    <t xml:space="preserve">Switchgear</t>
  </si>
  <si>
    <t xml:space="preserve">SL03</t>
  </si>
  <si>
    <t xml:space="preserve">Solar and Bulky Goods Bay</t>
  </si>
  <si>
    <t xml:space="preserve">MAT-10004</t>
  </si>
  <si>
    <t xml:space="preserve">Safety Helmet Class 1</t>
  </si>
  <si>
    <t xml:space="preserve">Safety Equipment</t>
  </si>
  <si>
    <t xml:space="preserve">Melbourne Distribution Centre</t>
  </si>
  <si>
    <t xml:space="preserve">MAT-10005</t>
  </si>
  <si>
    <t xml:space="preserve">Industrial Gloves Cut 5</t>
  </si>
  <si>
    <t xml:space="preserve">PAA</t>
  </si>
  <si>
    <t xml:space="preserve">MAT-10006</t>
  </si>
  <si>
    <t xml:space="preserve">LED High Bay Light 150W</t>
  </si>
  <si>
    <t xml:space="preserve">Lighting</t>
  </si>
  <si>
    <t xml:space="preserve">B</t>
  </si>
  <si>
    <t xml:space="preserve">MAT-10007</t>
  </si>
  <si>
    <t xml:space="preserve">Cable Gland M20</t>
  </si>
  <si>
    <t xml:space="preserve">MAT-10008</t>
  </si>
  <si>
    <t xml:space="preserve">Earthing Rod 1.2m Copper</t>
  </si>
  <si>
    <t xml:space="preserve">MAT-10009</t>
  </si>
  <si>
    <t xml:space="preserve">Safety Glasses Clear</t>
  </si>
  <si>
    <t xml:space="preserve">MAT-10010</t>
  </si>
  <si>
    <t xml:space="preserve">Power Distribution Board 12-Way</t>
  </si>
  <si>
    <t xml:space="preserve">MAT-10011</t>
  </si>
  <si>
    <t xml:space="preserve">Cable Ties 300mm Pack 100</t>
  </si>
  <si>
    <t xml:space="preserve">C</t>
  </si>
  <si>
    <t xml:space="preserve">MAT-10012</t>
  </si>
  <si>
    <t xml:space="preserve">Electrical Tape 20m Roll</t>
  </si>
  <si>
    <t xml:space="preserve">MAT-10013</t>
  </si>
  <si>
    <t xml:space="preserve">Hi-Vis Vest Yellow</t>
  </si>
  <si>
    <t xml:space="preserve">MAT-10014</t>
  </si>
  <si>
    <t xml:space="preserve">Junction Box IP65</t>
  </si>
  <si>
    <t xml:space="preserve">MAT-10015</t>
  </si>
  <si>
    <t xml:space="preserve">Solar Panel Mounting Rail 4m</t>
  </si>
  <si>
    <t xml:space="preserve">Solar</t>
  </si>
  <si>
    <t xml:space="preserve">MAT-10016</t>
  </si>
  <si>
    <t xml:space="preserve">Inverter 5kW Single Phase</t>
  </si>
  <si>
    <t xml:space="preserve">MAT-10017</t>
  </si>
  <si>
    <t xml:space="preserve">Ethernet Cable Cat6 305m</t>
  </si>
  <si>
    <t xml:space="preserve">Communications</t>
  </si>
  <si>
    <t xml:space="preserve">RL</t>
  </si>
  <si>
    <t xml:space="preserve">MAT-10018</t>
  </si>
  <si>
    <t xml:space="preserve">RJ45 Keystone Jack Pack 10</t>
  </si>
  <si>
    <t xml:space="preserve">MAT-10019</t>
  </si>
  <si>
    <t xml:space="preserve">Surge Protector 6-Outlet</t>
  </si>
  <si>
    <t xml:space="preserve">MAT-10020</t>
  </si>
  <si>
    <t xml:space="preserve">First Aid Kit Class C</t>
  </si>
  <si>
    <t xml:space="preserve">AusTrade Wholesale Distribution  |  Vendor Master Data  |  SAP Tables: LFA1/LFM1  |  Purchasing Org: AU00</t>
  </si>
  <si>
    <t xml:space="preserve">Vendor_ID</t>
  </si>
  <si>
    <t xml:space="preserve">Vendor_Name</t>
  </si>
  <si>
    <t xml:space="preserve">Country</t>
  </si>
  <si>
    <t xml:space="preserve">City</t>
  </si>
  <si>
    <t xml:space="preserve">Purchasing_Org</t>
  </si>
  <si>
    <t xml:space="preserve">Currency</t>
  </si>
  <si>
    <t xml:space="preserve">Payment_Terms</t>
  </si>
  <si>
    <t xml:space="preserve">Incoterms</t>
  </si>
  <si>
    <t xml:space="preserve">Contact_Name</t>
  </si>
  <si>
    <t xml:space="preserve">Contact_Email</t>
  </si>
  <si>
    <t xml:space="preserve">Risk_Rating</t>
  </si>
  <si>
    <t xml:space="preserve">Active_YN</t>
  </si>
  <si>
    <t xml:space="preserve">VND-9001</t>
  </si>
  <si>
    <t xml:space="preserve">Guangzhou ElecTech Co Ltd</t>
  </si>
  <si>
    <t xml:space="preserve">China</t>
  </si>
  <si>
    <t xml:space="preserve">Guangzhou</t>
  </si>
  <si>
    <t xml:space="preserve">AU00</t>
  </si>
  <si>
    <t xml:space="preserve">USD</t>
  </si>
  <si>
    <t xml:space="preserve">NT30</t>
  </si>
  <si>
    <t xml:space="preserve">FOB</t>
  </si>
  <si>
    <t xml:space="preserve">Wei Zhang</t>
  </si>
  <si>
    <t xml:space="preserve">wzhang@electech.cn</t>
  </si>
  <si>
    <t xml:space="preserve">Low</t>
  </si>
  <si>
    <t xml:space="preserve">Y</t>
  </si>
  <si>
    <t xml:space="preserve">VND-9002</t>
  </si>
  <si>
    <t xml:space="preserve">Hanoi Industrial Supplies</t>
  </si>
  <si>
    <t xml:space="preserve">Vietnam</t>
  </si>
  <si>
    <t xml:space="preserve">Hanoi</t>
  </si>
  <si>
    <t xml:space="preserve">NT45</t>
  </si>
  <si>
    <t xml:space="preserve">Nguyen Linh</t>
  </si>
  <si>
    <t xml:space="preserve">nlinh@hanoind.vn</t>
  </si>
  <si>
    <t xml:space="preserve">Medium</t>
  </si>
  <si>
    <t xml:space="preserve">VND-9003</t>
  </si>
  <si>
    <t xml:space="preserve">Mueller GmbH Electrical</t>
  </si>
  <si>
    <t xml:space="preserve">Germany</t>
  </si>
  <si>
    <t xml:space="preserve">Munich</t>
  </si>
  <si>
    <t xml:space="preserve">EUR</t>
  </si>
  <si>
    <t xml:space="preserve">NT60</t>
  </si>
  <si>
    <t xml:space="preserve">DDP</t>
  </si>
  <si>
    <t xml:space="preserve">Klaus Mueller</t>
  </si>
  <si>
    <t xml:space="preserve">k.mueller@mueller-gmbh.de</t>
  </si>
  <si>
    <t xml:space="preserve">VND-9004</t>
  </si>
  <si>
    <t xml:space="preserve">Brisbane Safety Supplies Pty Ltd</t>
  </si>
  <si>
    <t xml:space="preserve">Australia</t>
  </si>
  <si>
    <t xml:space="preserve">Brisbane</t>
  </si>
  <si>
    <t xml:space="preserve">AUD</t>
  </si>
  <si>
    <t xml:space="preserve">NT14</t>
  </si>
  <si>
    <t xml:space="preserve">EXW</t>
  </si>
  <si>
    <t xml:space="preserve">Sarah Collins</t>
  </si>
  <si>
    <t xml:space="preserve">scollins@brisbanesafety.com.au</t>
  </si>
  <si>
    <t xml:space="preserve">VND-9005</t>
  </si>
  <si>
    <t xml:space="preserve">Sydney Solar Components</t>
  </si>
  <si>
    <t xml:space="preserve">Sydney</t>
  </si>
  <si>
    <t xml:space="preserve">James Park</t>
  </si>
  <si>
    <t xml:space="preserve">jpark@sydneysolar.com.au</t>
  </si>
  <si>
    <t xml:space="preserve">AusTrade Wholesale Distribution  |  Purchasing Info Records  |  SAP Table: EINA  |  Links Materials to Approved Vendors</t>
  </si>
  <si>
    <t xml:space="preserve">Info_Record_ID</t>
  </si>
  <si>
    <t xml:space="preserve">Std_Unit_Cost_AUD</t>
  </si>
  <si>
    <t xml:space="preserve">Min_Order_Qty</t>
  </si>
  <si>
    <t xml:space="preserve">Supplier_Lead_Time_Days</t>
  </si>
  <si>
    <t xml:space="preserve">Contract_Expiry_Date</t>
  </si>
  <si>
    <t xml:space="preserve">Last_Price_Review</t>
  </si>
  <si>
    <t xml:space="preserve">Preferred_YN</t>
  </si>
  <si>
    <t xml:space="preserve">PIR-00001</t>
  </si>
  <si>
    <t xml:space="preserve">2026-12-31</t>
  </si>
  <si>
    <t xml:space="preserve">2025-07-01</t>
  </si>
  <si>
    <t xml:space="preserve">PIR-00002</t>
  </si>
  <si>
    <t xml:space="preserve">2026-06-30</t>
  </si>
  <si>
    <t xml:space="preserve">PIR-00003</t>
  </si>
  <si>
    <t xml:space="preserve">PIR-00004</t>
  </si>
  <si>
    <t xml:space="preserve">PIR-00005</t>
  </si>
  <si>
    <t xml:space="preserve">PIR-00006</t>
  </si>
  <si>
    <t xml:space="preserve">2026-09-30</t>
  </si>
  <si>
    <t xml:space="preserve">PIR-00007</t>
  </si>
  <si>
    <t xml:space="preserve">PIR-00008</t>
  </si>
  <si>
    <t xml:space="preserve">PIR-00009</t>
  </si>
  <si>
    <t xml:space="preserve">PIR-00010</t>
  </si>
  <si>
    <t xml:space="preserve">PIR-00011</t>
  </si>
  <si>
    <t xml:space="preserve">PIR-00012</t>
  </si>
  <si>
    <t xml:space="preserve">PIR-00013</t>
  </si>
  <si>
    <t xml:space="preserve">PIR-00014</t>
  </si>
  <si>
    <t xml:space="preserve">PIR-00015</t>
  </si>
  <si>
    <t xml:space="preserve">PIR-00016</t>
  </si>
  <si>
    <t xml:space="preserve">PIR-00017</t>
  </si>
  <si>
    <t xml:space="preserve">PIR-00018</t>
  </si>
  <si>
    <t xml:space="preserve">PIR-00019</t>
  </si>
  <si>
    <t xml:space="preserve">PIR-00020</t>
  </si>
  <si>
    <t xml:space="preserve">PIR-00021</t>
  </si>
  <si>
    <t xml:space="preserve">PIR-00022</t>
  </si>
  <si>
    <t xml:space="preserve">AusTrade Wholesale Distribution  |  Landed Cost and TCO Calculator  |  Incoterms 2020  |  Import Costing Engine</t>
  </si>
  <si>
    <t xml:space="preserve">Supplier_Unit_Price_USD</t>
  </si>
  <si>
    <t xml:space="preserve">Exchange_Rate_AUD</t>
  </si>
  <si>
    <t xml:space="preserve">Supplier_Price_AUD</t>
  </si>
  <si>
    <t xml:space="preserve">Sea_Freight_Per_Unit</t>
  </si>
  <si>
    <t xml:space="preserve">Port_Handling_Per_Unit</t>
  </si>
  <si>
    <t xml:space="preserve">Customs_Duty_Pct</t>
  </si>
  <si>
    <t xml:space="preserve">Customs_Duty_AUD</t>
  </si>
  <si>
    <t xml:space="preserve">Local_Delivery_Per_Unit</t>
  </si>
  <si>
    <t xml:space="preserve">Total_Landed_Cost_AUD</t>
  </si>
  <si>
    <t xml:space="preserve">Landed_vs_Standard_Variance</t>
  </si>
  <si>
    <t xml:space="preserve">Incoterms 2020 Reference Guide</t>
  </si>
  <si>
    <t xml:space="preserve">Free on Board</t>
  </si>
  <si>
    <t xml:space="preserve">Seller delivers to port. Buyer pays freight + insurance + duty</t>
  </si>
  <si>
    <t xml:space="preserve">Delivered Duty Paid</t>
  </si>
  <si>
    <t xml:space="preserve">Seller covers all costs to buyer's door including duty</t>
  </si>
  <si>
    <t xml:space="preserve">CIF</t>
  </si>
  <si>
    <t xml:space="preserve">Cost Insurance Freight</t>
  </si>
  <si>
    <t xml:space="preserve">Seller pays freight + insurance to destination port</t>
  </si>
  <si>
    <t xml:space="preserve">AusTrade Wholesale Distribution  |  SAP Transaction Log  |  Tables: EKKO/EKPO  |  P2P Cycle: ME21N → MIGO → MIRO</t>
  </si>
  <si>
    <t xml:space="preserve">PO_Number</t>
  </si>
  <si>
    <t xml:space="preserve">Order_Qty</t>
  </si>
  <si>
    <t xml:space="preserve">Unit_Price_AUD</t>
  </si>
  <si>
    <t xml:space="preserve">Order_Date</t>
  </si>
  <si>
    <t xml:space="preserve">Expected_Delivery</t>
  </si>
  <si>
    <t xml:space="preserve">SAP_TCode</t>
  </si>
  <si>
    <t xml:space="preserve">User_Action</t>
  </si>
  <si>
    <t xml:space="preserve">System_Status</t>
  </si>
  <si>
    <t xml:space="preserve">Actual_Delivery</t>
  </si>
  <si>
    <t xml:space="preserve">Received_Qty</t>
  </si>
  <si>
    <t xml:space="preserve">Invoice_Amount_AUD</t>
  </si>
  <si>
    <t xml:space="preserve">Scenario</t>
  </si>
  <si>
    <t xml:space="preserve">Match_Status</t>
  </si>
  <si>
    <t xml:space="preserve">PO-1001</t>
  </si>
  <si>
    <t xml:space="preserve">ME21N</t>
  </si>
  <si>
    <t xml:space="preserve">Create Purchase Order</t>
  </si>
  <si>
    <t xml:space="preserve">PO Created</t>
  </si>
  <si>
    <t xml:space="preserve">Clean Loop</t>
  </si>
  <si>
    <t xml:space="preserve">MIGO</t>
  </si>
  <si>
    <t xml:space="preserve">Goods Receipt Posted</t>
  </si>
  <si>
    <t xml:space="preserve">GR Posted</t>
  </si>
  <si>
    <t xml:space="preserve">MIRO</t>
  </si>
  <si>
    <t xml:space="preserve">Invoice Verified</t>
  </si>
  <si>
    <t xml:space="preserve">CLEARED</t>
  </si>
  <si>
    <t xml:space="preserve">MATCHED</t>
  </si>
  <si>
    <t xml:space="preserve">PO-1002</t>
  </si>
  <si>
    <t xml:space="preserve">PO-1003</t>
  </si>
  <si>
    <t xml:space="preserve">PO-1004</t>
  </si>
  <si>
    <t xml:space="preserve">PO-1005</t>
  </si>
  <si>
    <t xml:space="preserve">PO-2001</t>
  </si>
  <si>
    <t xml:space="preserve">Freight Shortage</t>
  </si>
  <si>
    <t xml:space="preserve">Goods Receipt — Short Delivery</t>
  </si>
  <si>
    <t xml:space="preserve">GR SHORT</t>
  </si>
  <si>
    <t xml:space="preserve">Invoice Verified — Qty Variance</t>
  </si>
  <si>
    <t xml:space="preserve">BLOCKED</t>
  </si>
  <si>
    <t xml:space="preserve">QTY VARIANCE</t>
  </si>
  <si>
    <t xml:space="preserve">PO-2002</t>
  </si>
  <si>
    <t xml:space="preserve">PO-2003</t>
  </si>
  <si>
    <t xml:space="preserve">PO-3001</t>
  </si>
  <si>
    <t xml:space="preserve">Price Variance</t>
  </si>
  <si>
    <t xml:space="preserve">Invoice Verified — Price Variance</t>
  </si>
  <si>
    <t xml:space="preserve">PRICE VARIANCE</t>
  </si>
  <si>
    <t xml:space="preserve">PO-3002</t>
  </si>
  <si>
    <t xml:space="preserve">PO-3003</t>
  </si>
  <si>
    <t xml:space="preserve">AusTrade Wholesale Distribution  |  3-Way Matching Compliance Matrix  |  PO vs GR vs Invoice Verification</t>
  </si>
  <si>
    <t xml:space="preserve">PO_Qty</t>
  </si>
  <si>
    <t xml:space="preserve">PO_Unit_Price</t>
  </si>
  <si>
    <t xml:space="preserve">GR_Qty</t>
  </si>
  <si>
    <t xml:space="preserve">Invoice_Amount</t>
  </si>
  <si>
    <t xml:space="preserve">Expected_Invoice</t>
  </si>
  <si>
    <t xml:space="preserve">Qty_Variance</t>
  </si>
  <si>
    <t xml:space="preserve">Price_Variance_AUD</t>
  </si>
  <si>
    <t xml:space="preserve">Price_Variance_Pct</t>
  </si>
  <si>
    <t xml:space="preserve">Compliance_Status</t>
  </si>
  <si>
    <t xml:space="preserve">BLOCKED — Qty Shortage</t>
  </si>
  <si>
    <t xml:space="preserve">BLOCKED — Price Variance</t>
  </si>
  <si>
    <t xml:space="preserve">3-Way Match Summary</t>
  </si>
  <si>
    <t xml:space="preserve">Total POs Reviewed</t>
  </si>
  <si>
    <t xml:space="preserve">POs Cleared</t>
  </si>
  <si>
    <t xml:space="preserve">POs Blocked</t>
  </si>
  <si>
    <t xml:space="preserve">Total Blocked Invoice Value</t>
  </si>
  <si>
    <t xml:space="preserve">AusTrade Wholesale Distribution  |  Contract Performance Tracker  |  Supplier Contract Compliance and Renewal Management</t>
  </si>
  <si>
    <t xml:space="preserve">Contract_ID</t>
  </si>
  <si>
    <t xml:space="preserve">Contract_Start</t>
  </si>
  <si>
    <t xml:space="preserve">Contract_End</t>
  </si>
  <si>
    <t xml:space="preserve">Contracted_Unit_Price</t>
  </si>
  <si>
    <t xml:space="preserve">Current_Market_Price</t>
  </si>
  <si>
    <t xml:space="preserve">Days_to_Expiry</t>
  </si>
  <si>
    <t xml:space="preserve">Contract_Status</t>
  </si>
  <si>
    <t xml:space="preserve">Renewal_Action</t>
  </si>
  <si>
    <t xml:space="preserve">CON-001</t>
  </si>
  <si>
    <t xml:space="preserve">ACTIVE</t>
  </si>
  <si>
    <t xml:space="preserve">Monitor — Next Review in 90 Days</t>
  </si>
  <si>
    <t xml:space="preserve">CON-002</t>
  </si>
  <si>
    <t xml:space="preserve">EXPIRING SOON</t>
  </si>
  <si>
    <t xml:space="preserve">Initiate Renewal Process</t>
  </si>
  <si>
    <t xml:space="preserve">CON-003</t>
  </si>
  <si>
    <t xml:space="preserve">CON-004</t>
  </si>
  <si>
    <t xml:space="preserve">Brisbane Safety Supplies</t>
  </si>
  <si>
    <t xml:space="preserve">CON-005</t>
  </si>
  <si>
    <t xml:space="preserve">AusTrade Wholesale Distribution  |  RFQ Evaluation Matrix  |  Supplier Selection: LED High Bay Light 150W (MAT-10006)</t>
  </si>
  <si>
    <t xml:space="preserve">Evaluation_Criteria</t>
  </si>
  <si>
    <t xml:space="preserve">Weight_Pct</t>
  </si>
  <si>
    <t xml:space="preserve">VND-9001 Score</t>
  </si>
  <si>
    <t xml:space="preserve">VND-9001 Weighted</t>
  </si>
  <si>
    <t xml:space="preserve">VND-9002 Score</t>
  </si>
  <si>
    <t xml:space="preserve">VND-9002 Weighted</t>
  </si>
  <si>
    <t xml:space="preserve">VND-9003 Score</t>
  </si>
  <si>
    <t xml:space="preserve">VND-9003 Weighted</t>
  </si>
  <si>
    <t xml:space="preserve">Scoring_Guide</t>
  </si>
  <si>
    <t xml:space="preserve">Notes</t>
  </si>
  <si>
    <t xml:space="preserve">Unit Price (AUD)</t>
  </si>
  <si>
    <t xml:space="preserve">10=lowest price, 1=highest price</t>
  </si>
  <si>
    <t xml:space="preserve">VND-9001=$155, VND-9002=$145, VND-9003=$178</t>
  </si>
  <si>
    <t xml:space="preserve">Supplier Lead Time (Days)</t>
  </si>
  <si>
    <t xml:space="preserve">10=shortest lead time, 1=longest</t>
  </si>
  <si>
    <t xml:space="preserve">VND-9001=28d, VND-9002=32d, VND-9003=21d</t>
  </si>
  <si>
    <t xml:space="preserve">Payment Terms</t>
  </si>
  <si>
    <t xml:space="preserve">10=longest terms, 1=shortest terms</t>
  </si>
  <si>
    <t xml:space="preserve">VND-9001=NT30, VND-9002=NT45, VND-9003=NT60</t>
  </si>
  <si>
    <t xml:space="preserve">Quality Rating</t>
  </si>
  <si>
    <t xml:space="preserve">Based on past defect rate history</t>
  </si>
  <si>
    <t xml:space="preserve">VND-9001=Low, VND-9002=Medium, VND-9003=Low</t>
  </si>
  <si>
    <t xml:space="preserve">Local vs Import Risk</t>
  </si>
  <si>
    <t xml:space="preserve">10=lowest supply risk, 1=highest</t>
  </si>
  <si>
    <t xml:space="preserve">EU supplier lower tariff risk</t>
  </si>
  <si>
    <t xml:space="preserve">TOTAL WEIGHTED SCORE</t>
  </si>
  <si>
    <t xml:space="preserve">Recommendation</t>
  </si>
  <si>
    <t xml:space="preserve">Recommended Supplier: VND-9001 (Guangzhou ElecTech). Highest weighted score driven by strong quality rating and competitive pricing. Proceed with PO issuance under Contract CON-001 subject to contract review before expiry 31 Dec 2026.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</si>
</sst>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\$#,##0.00"/>
    <numFmt numFmtId="167" formatCode="0.0%"/>
    <numFmt numFmtId="168" formatCode="yyyy\-mm\-dd"/>
    <numFmt numFmtId="169" formatCode="General"/>
    <numFmt numFmtId="170" formatCode="0%"/>
    <numFmt numFmtId="171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FFFFFF"/>
      <name val="Calibr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FF2CC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C6EFCE"/>
        <bgColor rgb="FFE2EFD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9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Calibri"/>
        <charset val="1"/>
        <family val="0"/>
        <b val="1"/>
        <color rgb="FF276221"/>
        <sz val="10"/>
      </font>
      <fill>
        <patternFill>
          <bgColor rgb="FFC6EFCE"/>
        </patternFill>
      </fill>
    </dxf>
    <dxf>
      <font>
        <name val="Calibri"/>
        <charset val="1"/>
        <family val="0"/>
        <b val="1"/>
        <color rgb="FF7D6608"/>
        <sz val="10"/>
      </font>
      <fill>
        <patternFill>
          <bgColor rgb="FFFFEB9C"/>
        </patternFill>
      </fill>
    </dxf>
    <dxf>
      <font>
        <name val="Calibri"/>
        <charset val="1"/>
        <family val="0"/>
        <b val="1"/>
        <color rgb="FF9C0006"/>
        <sz val="10"/>
      </font>
      <fill>
        <patternFill>
          <bgColor rgb="FFFCE4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276221"/>
      <rgbColor rgb="FF000080"/>
      <rgbColor rgb="FF7D6608"/>
      <rgbColor rgb="FF800080"/>
      <rgbColor rgb="FF008080"/>
      <rgbColor rgb="FFBFBFBF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  <col collapsed="false" customWidth="true" hidden="false" outlineLevel="0" max="3" min="3" style="0" width="22"/>
    <col collapsed="false" customWidth="true" hidden="false" outlineLevel="0" max="4" min="4" style="0" width="11"/>
    <col collapsed="false" customWidth="true" hidden="false" outlineLevel="0" max="5" min="5" style="0" width="17"/>
    <col collapsed="false" customWidth="true" hidden="false" outlineLevel="0" max="6" min="6" style="0" width="16"/>
    <col collapsed="false" customWidth="true" hidden="false" outlineLevel="0" max="7" min="7" style="0" width="10"/>
    <col collapsed="false" customWidth="true" hidden="false" outlineLevel="0" max="8" min="8" style="0" width="18"/>
    <col collapsed="false" customWidth="true" hidden="false" outlineLevel="0" max="9" min="9" style="0" width="19"/>
    <col collapsed="false" customWidth="true" hidden="false" outlineLevel="0" max="10" min="10" style="0" width="14"/>
    <col collapsed="false" customWidth="true" hidden="false" outlineLevel="0" max="11" min="11" style="0" width="18"/>
    <col collapsed="false" customWidth="true" hidden="false" outlineLevel="0" max="12" min="12" style="0" width="20"/>
    <col collapsed="false" customWidth="true" hidden="false" outlineLevel="0" max="13" min="13" style="0" width="12"/>
    <col collapsed="false" customWidth="true" hidden="false" outlineLevel="0" max="15" min="15" style="0" width="18"/>
    <col collapsed="false" customWidth="true" hidden="false" outlineLevel="0" max="16" min="16" style="0" width="28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O2" s="2" t="s">
        <v>14</v>
      </c>
      <c r="P2" s="2" t="s">
        <v>2</v>
      </c>
    </row>
    <row r="3" customFormat="false" ht="15" hidden="false" customHeight="false" outlineLevel="0" collapsed="false">
      <c r="A3" s="3" t="s">
        <v>15</v>
      </c>
      <c r="B3" s="4" t="s">
        <v>16</v>
      </c>
      <c r="C3" s="4" t="s">
        <v>17</v>
      </c>
      <c r="D3" s="4" t="s">
        <v>18</v>
      </c>
      <c r="E3" s="4" t="s">
        <v>19</v>
      </c>
      <c r="F3" s="4" t="s">
        <v>20</v>
      </c>
      <c r="G3" s="4" t="s">
        <v>21</v>
      </c>
      <c r="H3" s="5" t="n">
        <v>50</v>
      </c>
      <c r="I3" s="5" t="n">
        <v>120</v>
      </c>
      <c r="J3" s="5" t="n">
        <v>14</v>
      </c>
      <c r="K3" s="6" t="n">
        <v>45</v>
      </c>
      <c r="L3" s="5" t="n">
        <v>2400</v>
      </c>
      <c r="M3" s="4" t="s">
        <v>22</v>
      </c>
      <c r="O3" s="7" t="s">
        <v>19</v>
      </c>
      <c r="P3" s="7" t="s">
        <v>23</v>
      </c>
    </row>
    <row r="4" customFormat="false" ht="15" hidden="false" customHeight="false" outlineLevel="0" collapsed="false">
      <c r="A4" s="8" t="s">
        <v>24</v>
      </c>
      <c r="B4" s="9" t="s">
        <v>25</v>
      </c>
      <c r="C4" s="9" t="s">
        <v>17</v>
      </c>
      <c r="D4" s="9" t="s">
        <v>18</v>
      </c>
      <c r="E4" s="9" t="s">
        <v>19</v>
      </c>
      <c r="F4" s="9" t="s">
        <v>20</v>
      </c>
      <c r="G4" s="9" t="s">
        <v>21</v>
      </c>
      <c r="H4" s="10" t="n">
        <v>80</v>
      </c>
      <c r="I4" s="10" t="n">
        <v>200</v>
      </c>
      <c r="J4" s="10" t="n">
        <v>10</v>
      </c>
      <c r="K4" s="11" t="n">
        <v>12.5</v>
      </c>
      <c r="L4" s="10" t="n">
        <v>4800</v>
      </c>
      <c r="M4" s="9" t="s">
        <v>22</v>
      </c>
      <c r="O4" s="12" t="s">
        <v>26</v>
      </c>
      <c r="P4" s="12" t="s">
        <v>27</v>
      </c>
    </row>
    <row r="5" customFormat="false" ht="15" hidden="false" customHeight="false" outlineLevel="0" collapsed="false">
      <c r="A5" s="3" t="s">
        <v>28</v>
      </c>
      <c r="B5" s="4" t="s">
        <v>29</v>
      </c>
      <c r="C5" s="4" t="s">
        <v>30</v>
      </c>
      <c r="D5" s="4" t="s">
        <v>18</v>
      </c>
      <c r="E5" s="4" t="s">
        <v>19</v>
      </c>
      <c r="F5" s="4" t="s">
        <v>20</v>
      </c>
      <c r="G5" s="4" t="s">
        <v>21</v>
      </c>
      <c r="H5" s="5" t="n">
        <v>40</v>
      </c>
      <c r="I5" s="5" t="n">
        <v>100</v>
      </c>
      <c r="J5" s="5" t="n">
        <v>21</v>
      </c>
      <c r="K5" s="6" t="n">
        <v>28</v>
      </c>
      <c r="L5" s="5" t="n">
        <v>1800</v>
      </c>
      <c r="M5" s="4" t="s">
        <v>22</v>
      </c>
      <c r="O5" s="7" t="s">
        <v>31</v>
      </c>
      <c r="P5" s="7" t="s">
        <v>32</v>
      </c>
    </row>
    <row r="6" customFormat="false" ht="15" hidden="false" customHeight="false" outlineLevel="0" collapsed="false">
      <c r="A6" s="8" t="s">
        <v>33</v>
      </c>
      <c r="B6" s="9" t="s">
        <v>34</v>
      </c>
      <c r="C6" s="9" t="s">
        <v>35</v>
      </c>
      <c r="D6" s="9" t="s">
        <v>18</v>
      </c>
      <c r="E6" s="9" t="s">
        <v>26</v>
      </c>
      <c r="F6" s="9" t="s">
        <v>20</v>
      </c>
      <c r="G6" s="9" t="s">
        <v>21</v>
      </c>
      <c r="H6" s="10" t="n">
        <v>60</v>
      </c>
      <c r="I6" s="10" t="n">
        <v>150</v>
      </c>
      <c r="J6" s="10" t="n">
        <v>7</v>
      </c>
      <c r="K6" s="11" t="n">
        <v>18</v>
      </c>
      <c r="L6" s="10" t="n">
        <v>3600</v>
      </c>
      <c r="M6" s="9" t="s">
        <v>22</v>
      </c>
      <c r="O6" s="12" t="s">
        <v>18</v>
      </c>
      <c r="P6" s="12" t="s">
        <v>36</v>
      </c>
    </row>
    <row r="7" customFormat="false" ht="15" hidden="false" customHeight="false" outlineLevel="0" collapsed="false">
      <c r="A7" s="3" t="s">
        <v>37</v>
      </c>
      <c r="B7" s="4" t="s">
        <v>38</v>
      </c>
      <c r="C7" s="4" t="s">
        <v>35</v>
      </c>
      <c r="D7" s="4" t="s">
        <v>18</v>
      </c>
      <c r="E7" s="4" t="s">
        <v>26</v>
      </c>
      <c r="F7" s="4" t="s">
        <v>39</v>
      </c>
      <c r="G7" s="4" t="s">
        <v>21</v>
      </c>
      <c r="H7" s="5" t="n">
        <v>100</v>
      </c>
      <c r="I7" s="5" t="n">
        <v>250</v>
      </c>
      <c r="J7" s="5" t="n">
        <v>7</v>
      </c>
      <c r="K7" s="6" t="n">
        <v>8.5</v>
      </c>
      <c r="L7" s="5" t="n">
        <v>6000</v>
      </c>
      <c r="M7" s="4" t="s">
        <v>22</v>
      </c>
    </row>
    <row r="8" customFormat="false" ht="15" hidden="false" customHeight="false" outlineLevel="0" collapsed="false">
      <c r="A8" s="8" t="s">
        <v>40</v>
      </c>
      <c r="B8" s="9" t="s">
        <v>41</v>
      </c>
      <c r="C8" s="9" t="s">
        <v>42</v>
      </c>
      <c r="D8" s="9" t="s">
        <v>18</v>
      </c>
      <c r="E8" s="9" t="s">
        <v>19</v>
      </c>
      <c r="F8" s="9" t="s">
        <v>20</v>
      </c>
      <c r="G8" s="9" t="s">
        <v>43</v>
      </c>
      <c r="H8" s="10" t="n">
        <v>20</v>
      </c>
      <c r="I8" s="10" t="n">
        <v>55</v>
      </c>
      <c r="J8" s="10" t="n">
        <v>28</v>
      </c>
      <c r="K8" s="11" t="n">
        <v>185</v>
      </c>
      <c r="L8" s="10" t="n">
        <v>600</v>
      </c>
      <c r="M8" s="9" t="s">
        <v>22</v>
      </c>
    </row>
    <row r="9" customFormat="false" ht="15" hidden="false" customHeight="false" outlineLevel="0" collapsed="false">
      <c r="A9" s="3" t="s">
        <v>44</v>
      </c>
      <c r="B9" s="4" t="s">
        <v>45</v>
      </c>
      <c r="C9" s="4" t="s">
        <v>17</v>
      </c>
      <c r="D9" s="4" t="s">
        <v>18</v>
      </c>
      <c r="E9" s="4" t="s">
        <v>19</v>
      </c>
      <c r="F9" s="4" t="s">
        <v>20</v>
      </c>
      <c r="G9" s="4" t="s">
        <v>43</v>
      </c>
      <c r="H9" s="5" t="n">
        <v>150</v>
      </c>
      <c r="I9" s="5" t="n">
        <v>350</v>
      </c>
      <c r="J9" s="5" t="n">
        <v>14</v>
      </c>
      <c r="K9" s="6" t="n">
        <v>3.2</v>
      </c>
      <c r="L9" s="5" t="n">
        <v>4200</v>
      </c>
      <c r="M9" s="4" t="s">
        <v>22</v>
      </c>
    </row>
    <row r="10" customFormat="false" ht="15" hidden="false" customHeight="false" outlineLevel="0" collapsed="false">
      <c r="A10" s="8" t="s">
        <v>46</v>
      </c>
      <c r="B10" s="9" t="s">
        <v>47</v>
      </c>
      <c r="C10" s="9" t="s">
        <v>17</v>
      </c>
      <c r="D10" s="9" t="s">
        <v>18</v>
      </c>
      <c r="E10" s="9" t="s">
        <v>19</v>
      </c>
      <c r="F10" s="9" t="s">
        <v>20</v>
      </c>
      <c r="G10" s="9" t="s">
        <v>43</v>
      </c>
      <c r="H10" s="10" t="n">
        <v>30</v>
      </c>
      <c r="I10" s="10" t="n">
        <v>70</v>
      </c>
      <c r="J10" s="10" t="n">
        <v>21</v>
      </c>
      <c r="K10" s="11" t="n">
        <v>22</v>
      </c>
      <c r="L10" s="10" t="n">
        <v>900</v>
      </c>
      <c r="M10" s="9" t="s">
        <v>22</v>
      </c>
    </row>
    <row r="11" customFormat="false" ht="15" hidden="false" customHeight="false" outlineLevel="0" collapsed="false">
      <c r="A11" s="3" t="s">
        <v>48</v>
      </c>
      <c r="B11" s="4" t="s">
        <v>49</v>
      </c>
      <c r="C11" s="4" t="s">
        <v>35</v>
      </c>
      <c r="D11" s="4" t="s">
        <v>18</v>
      </c>
      <c r="E11" s="4" t="s">
        <v>26</v>
      </c>
      <c r="F11" s="4" t="s">
        <v>20</v>
      </c>
      <c r="G11" s="4" t="s">
        <v>43</v>
      </c>
      <c r="H11" s="5" t="n">
        <v>80</v>
      </c>
      <c r="I11" s="5" t="n">
        <v>180</v>
      </c>
      <c r="J11" s="5" t="n">
        <v>7</v>
      </c>
      <c r="K11" s="6" t="n">
        <v>5.5</v>
      </c>
      <c r="L11" s="5" t="n">
        <v>3000</v>
      </c>
      <c r="M11" s="4" t="s">
        <v>22</v>
      </c>
    </row>
    <row r="12" customFormat="false" ht="15" hidden="false" customHeight="false" outlineLevel="0" collapsed="false">
      <c r="A12" s="8" t="s">
        <v>50</v>
      </c>
      <c r="B12" s="9" t="s">
        <v>51</v>
      </c>
      <c r="C12" s="9" t="s">
        <v>30</v>
      </c>
      <c r="D12" s="9" t="s">
        <v>18</v>
      </c>
      <c r="E12" s="9" t="s">
        <v>19</v>
      </c>
      <c r="F12" s="9" t="s">
        <v>20</v>
      </c>
      <c r="G12" s="9" t="s">
        <v>43</v>
      </c>
      <c r="H12" s="10" t="n">
        <v>15</v>
      </c>
      <c r="I12" s="10" t="n">
        <v>40</v>
      </c>
      <c r="J12" s="10" t="n">
        <v>35</v>
      </c>
      <c r="K12" s="11" t="n">
        <v>320</v>
      </c>
      <c r="L12" s="10" t="n">
        <v>360</v>
      </c>
      <c r="M12" s="9" t="s">
        <v>22</v>
      </c>
    </row>
    <row r="13" customFormat="false" ht="15" hidden="false" customHeight="false" outlineLevel="0" collapsed="false">
      <c r="A13" s="3" t="s">
        <v>52</v>
      </c>
      <c r="B13" s="4" t="s">
        <v>53</v>
      </c>
      <c r="C13" s="4" t="s">
        <v>17</v>
      </c>
      <c r="D13" s="4" t="s">
        <v>18</v>
      </c>
      <c r="E13" s="4" t="s">
        <v>19</v>
      </c>
      <c r="F13" s="4" t="s">
        <v>39</v>
      </c>
      <c r="G13" s="4" t="s">
        <v>54</v>
      </c>
      <c r="H13" s="5" t="n">
        <v>50</v>
      </c>
      <c r="I13" s="5" t="n">
        <v>100</v>
      </c>
      <c r="J13" s="5" t="n">
        <v>10</v>
      </c>
      <c r="K13" s="6" t="n">
        <v>9.8</v>
      </c>
      <c r="L13" s="5" t="n">
        <v>1200</v>
      </c>
      <c r="M13" s="4" t="s">
        <v>22</v>
      </c>
    </row>
    <row r="14" customFormat="false" ht="15" hidden="false" customHeight="false" outlineLevel="0" collapsed="false">
      <c r="A14" s="8" t="s">
        <v>55</v>
      </c>
      <c r="B14" s="9" t="s">
        <v>56</v>
      </c>
      <c r="C14" s="9" t="s">
        <v>17</v>
      </c>
      <c r="D14" s="9" t="s">
        <v>18</v>
      </c>
      <c r="E14" s="9" t="s">
        <v>19</v>
      </c>
      <c r="F14" s="9" t="s">
        <v>20</v>
      </c>
      <c r="G14" s="9" t="s">
        <v>54</v>
      </c>
      <c r="H14" s="10" t="n">
        <v>60</v>
      </c>
      <c r="I14" s="10" t="n">
        <v>120</v>
      </c>
      <c r="J14" s="10" t="n">
        <v>10</v>
      </c>
      <c r="K14" s="11" t="n">
        <v>4.2</v>
      </c>
      <c r="L14" s="10" t="n">
        <v>1500</v>
      </c>
      <c r="M14" s="9" t="s">
        <v>22</v>
      </c>
    </row>
    <row r="15" customFormat="false" ht="15" hidden="false" customHeight="false" outlineLevel="0" collapsed="false">
      <c r="A15" s="3" t="s">
        <v>57</v>
      </c>
      <c r="B15" s="4" t="s">
        <v>58</v>
      </c>
      <c r="C15" s="4" t="s">
        <v>35</v>
      </c>
      <c r="D15" s="4" t="s">
        <v>18</v>
      </c>
      <c r="E15" s="4" t="s">
        <v>26</v>
      </c>
      <c r="F15" s="4" t="s">
        <v>20</v>
      </c>
      <c r="G15" s="4" t="s">
        <v>54</v>
      </c>
      <c r="H15" s="5" t="n">
        <v>40</v>
      </c>
      <c r="I15" s="5" t="n">
        <v>80</v>
      </c>
      <c r="J15" s="5" t="n">
        <v>7</v>
      </c>
      <c r="K15" s="6" t="n">
        <v>12</v>
      </c>
      <c r="L15" s="5" t="n">
        <v>1200</v>
      </c>
      <c r="M15" s="4" t="s">
        <v>22</v>
      </c>
    </row>
    <row r="16" customFormat="false" ht="15" hidden="false" customHeight="false" outlineLevel="0" collapsed="false">
      <c r="A16" s="8" t="s">
        <v>59</v>
      </c>
      <c r="B16" s="9" t="s">
        <v>60</v>
      </c>
      <c r="C16" s="9" t="s">
        <v>17</v>
      </c>
      <c r="D16" s="9" t="s">
        <v>18</v>
      </c>
      <c r="E16" s="9" t="s">
        <v>19</v>
      </c>
      <c r="F16" s="9" t="s">
        <v>20</v>
      </c>
      <c r="G16" s="9" t="s">
        <v>54</v>
      </c>
      <c r="H16" s="10" t="n">
        <v>25</v>
      </c>
      <c r="I16" s="10" t="n">
        <v>55</v>
      </c>
      <c r="J16" s="10" t="n">
        <v>21</v>
      </c>
      <c r="K16" s="11" t="n">
        <v>38</v>
      </c>
      <c r="L16" s="10" t="n">
        <v>480</v>
      </c>
      <c r="M16" s="9" t="s">
        <v>22</v>
      </c>
    </row>
    <row r="17" customFormat="false" ht="15" hidden="false" customHeight="false" outlineLevel="0" collapsed="false">
      <c r="A17" s="3" t="s">
        <v>61</v>
      </c>
      <c r="B17" s="4" t="s">
        <v>62</v>
      </c>
      <c r="C17" s="4" t="s">
        <v>63</v>
      </c>
      <c r="D17" s="4" t="s">
        <v>18</v>
      </c>
      <c r="E17" s="4" t="s">
        <v>31</v>
      </c>
      <c r="F17" s="4" t="s">
        <v>20</v>
      </c>
      <c r="G17" s="4" t="s">
        <v>54</v>
      </c>
      <c r="H17" s="5" t="n">
        <v>20</v>
      </c>
      <c r="I17" s="5" t="n">
        <v>45</v>
      </c>
      <c r="J17" s="5" t="n">
        <v>42</v>
      </c>
      <c r="K17" s="6" t="n">
        <v>95</v>
      </c>
      <c r="L17" s="5" t="n">
        <v>360</v>
      </c>
      <c r="M17" s="4" t="s">
        <v>22</v>
      </c>
    </row>
    <row r="18" customFormat="false" ht="15" hidden="false" customHeight="false" outlineLevel="0" collapsed="false">
      <c r="A18" s="8" t="s">
        <v>64</v>
      </c>
      <c r="B18" s="9" t="s">
        <v>65</v>
      </c>
      <c r="C18" s="9" t="s">
        <v>63</v>
      </c>
      <c r="D18" s="9" t="s">
        <v>18</v>
      </c>
      <c r="E18" s="9" t="s">
        <v>31</v>
      </c>
      <c r="F18" s="9" t="s">
        <v>20</v>
      </c>
      <c r="G18" s="9" t="s">
        <v>54</v>
      </c>
      <c r="H18" s="10" t="n">
        <v>8</v>
      </c>
      <c r="I18" s="10" t="n">
        <v>20</v>
      </c>
      <c r="J18" s="10" t="n">
        <v>42</v>
      </c>
      <c r="K18" s="11" t="n">
        <v>1850</v>
      </c>
      <c r="L18" s="10" t="n">
        <v>120</v>
      </c>
      <c r="M18" s="9" t="s">
        <v>22</v>
      </c>
    </row>
    <row r="19" customFormat="false" ht="15" hidden="false" customHeight="false" outlineLevel="0" collapsed="false">
      <c r="A19" s="3" t="s">
        <v>66</v>
      </c>
      <c r="B19" s="4" t="s">
        <v>67</v>
      </c>
      <c r="C19" s="4" t="s">
        <v>68</v>
      </c>
      <c r="D19" s="4" t="s">
        <v>18</v>
      </c>
      <c r="E19" s="4" t="s">
        <v>19</v>
      </c>
      <c r="F19" s="4" t="s">
        <v>69</v>
      </c>
      <c r="G19" s="4" t="s">
        <v>54</v>
      </c>
      <c r="H19" s="5" t="n">
        <v>10</v>
      </c>
      <c r="I19" s="5" t="n">
        <v>25</v>
      </c>
      <c r="J19" s="5" t="n">
        <v>14</v>
      </c>
      <c r="K19" s="6" t="n">
        <v>185</v>
      </c>
      <c r="L19" s="5" t="n">
        <v>240</v>
      </c>
      <c r="M19" s="4" t="s">
        <v>22</v>
      </c>
    </row>
    <row r="20" customFormat="false" ht="15" hidden="false" customHeight="false" outlineLevel="0" collapsed="false">
      <c r="A20" s="8" t="s">
        <v>70</v>
      </c>
      <c r="B20" s="9" t="s">
        <v>71</v>
      </c>
      <c r="C20" s="9" t="s">
        <v>68</v>
      </c>
      <c r="D20" s="9" t="s">
        <v>18</v>
      </c>
      <c r="E20" s="9" t="s">
        <v>19</v>
      </c>
      <c r="F20" s="9" t="s">
        <v>39</v>
      </c>
      <c r="G20" s="9" t="s">
        <v>54</v>
      </c>
      <c r="H20" s="10" t="n">
        <v>30</v>
      </c>
      <c r="I20" s="10" t="n">
        <v>65</v>
      </c>
      <c r="J20" s="10" t="n">
        <v>14</v>
      </c>
      <c r="K20" s="11" t="n">
        <v>24</v>
      </c>
      <c r="L20" s="10" t="n">
        <v>600</v>
      </c>
      <c r="M20" s="9" t="s">
        <v>22</v>
      </c>
    </row>
    <row r="21" customFormat="false" ht="15" hidden="false" customHeight="false" outlineLevel="0" collapsed="false">
      <c r="A21" s="3" t="s">
        <v>72</v>
      </c>
      <c r="B21" s="4" t="s">
        <v>73</v>
      </c>
      <c r="C21" s="4" t="s">
        <v>17</v>
      </c>
      <c r="D21" s="4" t="s">
        <v>18</v>
      </c>
      <c r="E21" s="4" t="s">
        <v>19</v>
      </c>
      <c r="F21" s="4" t="s">
        <v>20</v>
      </c>
      <c r="G21" s="4" t="s">
        <v>54</v>
      </c>
      <c r="H21" s="5" t="n">
        <v>20</v>
      </c>
      <c r="I21" s="5" t="n">
        <v>45</v>
      </c>
      <c r="J21" s="5" t="n">
        <v>21</v>
      </c>
      <c r="K21" s="6" t="n">
        <v>42</v>
      </c>
      <c r="L21" s="5" t="n">
        <v>480</v>
      </c>
      <c r="M21" s="4" t="s">
        <v>22</v>
      </c>
    </row>
    <row r="22" customFormat="false" ht="15" hidden="false" customHeight="false" outlineLevel="0" collapsed="false">
      <c r="A22" s="8" t="s">
        <v>74</v>
      </c>
      <c r="B22" s="9" t="s">
        <v>75</v>
      </c>
      <c r="C22" s="9" t="s">
        <v>35</v>
      </c>
      <c r="D22" s="9" t="s">
        <v>18</v>
      </c>
      <c r="E22" s="9" t="s">
        <v>26</v>
      </c>
      <c r="F22" s="9" t="s">
        <v>20</v>
      </c>
      <c r="G22" s="9" t="s">
        <v>54</v>
      </c>
      <c r="H22" s="10" t="n">
        <v>15</v>
      </c>
      <c r="I22" s="10" t="n">
        <v>30</v>
      </c>
      <c r="J22" s="10" t="n">
        <v>7</v>
      </c>
      <c r="K22" s="11" t="n">
        <v>68</v>
      </c>
      <c r="L22" s="10" t="n">
        <v>300</v>
      </c>
      <c r="M22" s="9" t="s">
        <v>22</v>
      </c>
    </row>
  </sheetData>
  <mergeCells count="1">
    <mergeCell ref="A1:M1"/>
  </mergeCells>
  <conditionalFormatting sqref="G3:G22">
    <cfRule type="cellIs" priority="2" operator="equal" aboveAverage="0" equalAverage="0" bottom="0" percent="0" rank="0" text="" dxfId="0">
      <formula>"A"</formula>
    </cfRule>
    <cfRule type="cellIs" priority="3" operator="equal" aboveAverage="0" equalAverage="0" bottom="0" percent="0" rank="0" text="" dxfId="1">
      <formula>"B"</formula>
    </cfRule>
    <cfRule type="cellIs" priority="4" operator="equal" aboveAverage="0" equalAverage="0" bottom="0" percent="0" rank="0" text="" dxfId="2">
      <formula>"C"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1"/>
    <col collapsed="false" customWidth="true" hidden="false" outlineLevel="0" max="9" min="9" style="0" width="18"/>
    <col collapsed="false" customWidth="true" hidden="false" outlineLevel="0" max="10" min="10" style="0" width="36"/>
    <col collapsed="false" customWidth="true" hidden="false" outlineLevel="0" max="11" min="11" style="0" width="12"/>
    <col collapsed="false" customWidth="true" hidden="false" outlineLevel="0" max="12" min="12" style="0" width="10"/>
  </cols>
  <sheetData>
    <row r="1" customFormat="false" ht="19.5" hidden="false" customHeight="true" outlineLevel="0" collapsed="false">
      <c r="A1" s="1" t="s">
        <v>76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77</v>
      </c>
      <c r="B2" s="2" t="s">
        <v>78</v>
      </c>
      <c r="C2" s="2" t="s">
        <v>79</v>
      </c>
      <c r="D2" s="2" t="s">
        <v>80</v>
      </c>
      <c r="E2" s="2" t="s">
        <v>81</v>
      </c>
      <c r="F2" s="2" t="s">
        <v>82</v>
      </c>
      <c r="G2" s="2" t="s">
        <v>83</v>
      </c>
      <c r="H2" s="2" t="s">
        <v>84</v>
      </c>
      <c r="I2" s="2" t="s">
        <v>85</v>
      </c>
      <c r="J2" s="2" t="s">
        <v>86</v>
      </c>
      <c r="K2" s="2" t="s">
        <v>87</v>
      </c>
      <c r="L2" s="2" t="s">
        <v>88</v>
      </c>
    </row>
    <row r="3" customFormat="false" ht="15" hidden="false" customHeight="false" outlineLevel="0" collapsed="false">
      <c r="A3" s="3" t="s">
        <v>89</v>
      </c>
      <c r="B3" s="4" t="s">
        <v>90</v>
      </c>
      <c r="C3" s="4" t="s">
        <v>91</v>
      </c>
      <c r="D3" s="4" t="s">
        <v>92</v>
      </c>
      <c r="E3" s="4" t="s">
        <v>93</v>
      </c>
      <c r="F3" s="4" t="s">
        <v>94</v>
      </c>
      <c r="G3" s="4" t="s">
        <v>95</v>
      </c>
      <c r="H3" s="4" t="s">
        <v>96</v>
      </c>
      <c r="I3" s="4" t="s">
        <v>97</v>
      </c>
      <c r="J3" s="4" t="s">
        <v>98</v>
      </c>
      <c r="K3" s="4" t="s">
        <v>99</v>
      </c>
      <c r="L3" s="4" t="s">
        <v>100</v>
      </c>
    </row>
    <row r="4" customFormat="false" ht="15" hidden="false" customHeight="false" outlineLevel="0" collapsed="false">
      <c r="A4" s="8" t="s">
        <v>101</v>
      </c>
      <c r="B4" s="9" t="s">
        <v>102</v>
      </c>
      <c r="C4" s="9" t="s">
        <v>103</v>
      </c>
      <c r="D4" s="9" t="s">
        <v>104</v>
      </c>
      <c r="E4" s="9" t="s">
        <v>93</v>
      </c>
      <c r="F4" s="9" t="s">
        <v>94</v>
      </c>
      <c r="G4" s="9" t="s">
        <v>105</v>
      </c>
      <c r="H4" s="9" t="s">
        <v>96</v>
      </c>
      <c r="I4" s="9" t="s">
        <v>106</v>
      </c>
      <c r="J4" s="9" t="s">
        <v>107</v>
      </c>
      <c r="K4" s="9" t="s">
        <v>108</v>
      </c>
      <c r="L4" s="9" t="s">
        <v>100</v>
      </c>
    </row>
    <row r="5" customFormat="false" ht="15" hidden="false" customHeight="false" outlineLevel="0" collapsed="false">
      <c r="A5" s="3" t="s">
        <v>109</v>
      </c>
      <c r="B5" s="4" t="s">
        <v>110</v>
      </c>
      <c r="C5" s="4" t="s">
        <v>111</v>
      </c>
      <c r="D5" s="4" t="s">
        <v>112</v>
      </c>
      <c r="E5" s="4" t="s">
        <v>93</v>
      </c>
      <c r="F5" s="4" t="s">
        <v>113</v>
      </c>
      <c r="G5" s="4" t="s">
        <v>114</v>
      </c>
      <c r="H5" s="4" t="s">
        <v>115</v>
      </c>
      <c r="I5" s="4" t="s">
        <v>116</v>
      </c>
      <c r="J5" s="4" t="s">
        <v>117</v>
      </c>
      <c r="K5" s="4" t="s">
        <v>99</v>
      </c>
      <c r="L5" s="4" t="s">
        <v>100</v>
      </c>
    </row>
    <row r="6" customFormat="false" ht="15" hidden="false" customHeight="false" outlineLevel="0" collapsed="false">
      <c r="A6" s="8" t="s">
        <v>118</v>
      </c>
      <c r="B6" s="9" t="s">
        <v>119</v>
      </c>
      <c r="C6" s="9" t="s">
        <v>120</v>
      </c>
      <c r="D6" s="9" t="s">
        <v>121</v>
      </c>
      <c r="E6" s="9" t="s">
        <v>93</v>
      </c>
      <c r="F6" s="9" t="s">
        <v>122</v>
      </c>
      <c r="G6" s="9" t="s">
        <v>123</v>
      </c>
      <c r="H6" s="9" t="s">
        <v>124</v>
      </c>
      <c r="I6" s="9" t="s">
        <v>125</v>
      </c>
      <c r="J6" s="9" t="s">
        <v>126</v>
      </c>
      <c r="K6" s="9" t="s">
        <v>99</v>
      </c>
      <c r="L6" s="9" t="s">
        <v>100</v>
      </c>
    </row>
    <row r="7" customFormat="false" ht="15" hidden="false" customHeight="false" outlineLevel="0" collapsed="false">
      <c r="A7" s="3" t="s">
        <v>127</v>
      </c>
      <c r="B7" s="4" t="s">
        <v>128</v>
      </c>
      <c r="C7" s="4" t="s">
        <v>120</v>
      </c>
      <c r="D7" s="4" t="s">
        <v>129</v>
      </c>
      <c r="E7" s="4" t="s">
        <v>93</v>
      </c>
      <c r="F7" s="4" t="s">
        <v>122</v>
      </c>
      <c r="G7" s="4" t="s">
        <v>95</v>
      </c>
      <c r="H7" s="4" t="s">
        <v>124</v>
      </c>
      <c r="I7" s="4" t="s">
        <v>130</v>
      </c>
      <c r="J7" s="4" t="s">
        <v>131</v>
      </c>
      <c r="K7" s="4" t="s">
        <v>108</v>
      </c>
      <c r="L7" s="4" t="s">
        <v>100</v>
      </c>
    </row>
  </sheetData>
  <mergeCells count="1">
    <mergeCell ref="A1:L1"/>
  </mergeCells>
  <conditionalFormatting sqref="K3:K7">
    <cfRule type="cellIs" priority="2" operator="equal" aboveAverage="0" equalAverage="0" bottom="0" percent="0" rank="0" text="" dxfId="0">
      <formula>"Low"</formula>
    </cfRule>
    <cfRule type="cellIs" priority="3" operator="equal" aboveAverage="0" equalAverage="0" bottom="0" percent="0" rank="0" text="" dxfId="1">
      <formula>"Medium"</formula>
    </cfRule>
    <cfRule type="cellIs" priority="4" operator="equal" aboveAverage="0" equalAverage="0" bottom="0" percent="0" rank="0" text="" dxfId="2">
      <formula>"High"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15"/>
    <col collapsed="false" customWidth="true" hidden="false" outlineLevel="0" max="6" min="6" style="0" width="22"/>
    <col collapsed="false" customWidth="true" hidden="false" outlineLevel="0" max="7" min="7" style="0" width="20"/>
    <col collapsed="false" customWidth="true" hidden="false" outlineLevel="0" max="8" min="8" style="0" width="18"/>
    <col collapsed="false" customWidth="true" hidden="false" outlineLevel="0" max="9" min="9" style="0" width="13"/>
  </cols>
  <sheetData>
    <row r="1" customFormat="false" ht="19.5" hidden="false" customHeight="true" outlineLevel="0" collapsed="false">
      <c r="A1" s="1" t="s">
        <v>132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133</v>
      </c>
      <c r="B2" s="2" t="s">
        <v>1</v>
      </c>
      <c r="C2" s="2" t="s">
        <v>77</v>
      </c>
      <c r="D2" s="2" t="s">
        <v>134</v>
      </c>
      <c r="E2" s="2" t="s">
        <v>135</v>
      </c>
      <c r="F2" s="2" t="s">
        <v>136</v>
      </c>
      <c r="G2" s="2" t="s">
        <v>137</v>
      </c>
      <c r="H2" s="2" t="s">
        <v>138</v>
      </c>
      <c r="I2" s="2" t="s">
        <v>139</v>
      </c>
    </row>
    <row r="3" customFormat="false" ht="15" hidden="false" customHeight="false" outlineLevel="0" collapsed="false">
      <c r="A3" s="3" t="s">
        <v>140</v>
      </c>
      <c r="B3" s="4" t="s">
        <v>15</v>
      </c>
      <c r="C3" s="4" t="s">
        <v>89</v>
      </c>
      <c r="D3" s="6" t="n">
        <v>38.5</v>
      </c>
      <c r="E3" s="5" t="n">
        <v>50</v>
      </c>
      <c r="F3" s="5" t="n">
        <v>14</v>
      </c>
      <c r="G3" s="4" t="s">
        <v>141</v>
      </c>
      <c r="H3" s="4" t="s">
        <v>142</v>
      </c>
      <c r="I3" s="4" t="s">
        <v>100</v>
      </c>
    </row>
    <row r="4" customFormat="false" ht="15" hidden="false" customHeight="false" outlineLevel="0" collapsed="false">
      <c r="A4" s="8" t="s">
        <v>143</v>
      </c>
      <c r="B4" s="9" t="s">
        <v>15</v>
      </c>
      <c r="C4" s="9" t="s">
        <v>101</v>
      </c>
      <c r="D4" s="11" t="n">
        <v>36</v>
      </c>
      <c r="E4" s="10" t="n">
        <v>100</v>
      </c>
      <c r="F4" s="10" t="n">
        <v>18</v>
      </c>
      <c r="G4" s="9" t="s">
        <v>144</v>
      </c>
      <c r="H4" s="9" t="s">
        <v>142</v>
      </c>
      <c r="I4" s="9" t="s">
        <v>22</v>
      </c>
    </row>
    <row r="5" customFormat="false" ht="15" hidden="false" customHeight="false" outlineLevel="0" collapsed="false">
      <c r="A5" s="3" t="s">
        <v>145</v>
      </c>
      <c r="B5" s="4" t="s">
        <v>24</v>
      </c>
      <c r="C5" s="4" t="s">
        <v>89</v>
      </c>
      <c r="D5" s="6" t="n">
        <v>10.2</v>
      </c>
      <c r="E5" s="5" t="n">
        <v>200</v>
      </c>
      <c r="F5" s="5" t="n">
        <v>10</v>
      </c>
      <c r="G5" s="4" t="s">
        <v>141</v>
      </c>
      <c r="H5" s="4" t="s">
        <v>142</v>
      </c>
      <c r="I5" s="4" t="s">
        <v>100</v>
      </c>
    </row>
    <row r="6" customFormat="false" ht="15" hidden="false" customHeight="false" outlineLevel="0" collapsed="false">
      <c r="A6" s="8" t="s">
        <v>146</v>
      </c>
      <c r="B6" s="9" t="s">
        <v>28</v>
      </c>
      <c r="C6" s="9" t="s">
        <v>89</v>
      </c>
      <c r="D6" s="11" t="n">
        <v>23.5</v>
      </c>
      <c r="E6" s="10" t="n">
        <v>40</v>
      </c>
      <c r="F6" s="10" t="n">
        <v>21</v>
      </c>
      <c r="G6" s="9" t="s">
        <v>141</v>
      </c>
      <c r="H6" s="9" t="s">
        <v>142</v>
      </c>
      <c r="I6" s="9" t="s">
        <v>100</v>
      </c>
    </row>
    <row r="7" customFormat="false" ht="15" hidden="false" customHeight="false" outlineLevel="0" collapsed="false">
      <c r="A7" s="3" t="s">
        <v>147</v>
      </c>
      <c r="B7" s="4" t="s">
        <v>28</v>
      </c>
      <c r="C7" s="4" t="s">
        <v>109</v>
      </c>
      <c r="D7" s="6" t="n">
        <v>25</v>
      </c>
      <c r="E7" s="5" t="n">
        <v>20</v>
      </c>
      <c r="F7" s="5" t="n">
        <v>35</v>
      </c>
      <c r="G7" s="4" t="s">
        <v>141</v>
      </c>
      <c r="H7" s="4" t="s">
        <v>142</v>
      </c>
      <c r="I7" s="4" t="s">
        <v>22</v>
      </c>
    </row>
    <row r="8" customFormat="false" ht="15" hidden="false" customHeight="false" outlineLevel="0" collapsed="false">
      <c r="A8" s="8" t="s">
        <v>148</v>
      </c>
      <c r="B8" s="9" t="s">
        <v>33</v>
      </c>
      <c r="C8" s="9" t="s">
        <v>118</v>
      </c>
      <c r="D8" s="11" t="n">
        <v>15.8</v>
      </c>
      <c r="E8" s="10" t="n">
        <v>60</v>
      </c>
      <c r="F8" s="10" t="n">
        <v>7</v>
      </c>
      <c r="G8" s="9" t="s">
        <v>149</v>
      </c>
      <c r="H8" s="9" t="s">
        <v>142</v>
      </c>
      <c r="I8" s="9" t="s">
        <v>100</v>
      </c>
    </row>
    <row r="9" customFormat="false" ht="15" hidden="false" customHeight="false" outlineLevel="0" collapsed="false">
      <c r="A9" s="3" t="s">
        <v>150</v>
      </c>
      <c r="B9" s="4" t="s">
        <v>37</v>
      </c>
      <c r="C9" s="4" t="s">
        <v>118</v>
      </c>
      <c r="D9" s="6" t="n">
        <v>7.2</v>
      </c>
      <c r="E9" s="5" t="n">
        <v>200</v>
      </c>
      <c r="F9" s="5" t="n">
        <v>7</v>
      </c>
      <c r="G9" s="4" t="s">
        <v>149</v>
      </c>
      <c r="H9" s="4" t="s">
        <v>142</v>
      </c>
      <c r="I9" s="4" t="s">
        <v>100</v>
      </c>
    </row>
    <row r="10" customFormat="false" ht="15" hidden="false" customHeight="false" outlineLevel="0" collapsed="false">
      <c r="A10" s="8" t="s">
        <v>151</v>
      </c>
      <c r="B10" s="9" t="s">
        <v>40</v>
      </c>
      <c r="C10" s="9" t="s">
        <v>89</v>
      </c>
      <c r="D10" s="11" t="n">
        <v>155</v>
      </c>
      <c r="E10" s="10" t="n">
        <v>10</v>
      </c>
      <c r="F10" s="10" t="n">
        <v>28</v>
      </c>
      <c r="G10" s="9" t="s">
        <v>141</v>
      </c>
      <c r="H10" s="9" t="s">
        <v>142</v>
      </c>
      <c r="I10" s="9" t="s">
        <v>100</v>
      </c>
    </row>
    <row r="11" customFormat="false" ht="15" hidden="false" customHeight="false" outlineLevel="0" collapsed="false">
      <c r="A11" s="3" t="s">
        <v>152</v>
      </c>
      <c r="B11" s="4" t="s">
        <v>44</v>
      </c>
      <c r="C11" s="4" t="s">
        <v>89</v>
      </c>
      <c r="D11" s="6" t="n">
        <v>2.8</v>
      </c>
      <c r="E11" s="5" t="n">
        <v>500</v>
      </c>
      <c r="F11" s="5" t="n">
        <v>14</v>
      </c>
      <c r="G11" s="4" t="s">
        <v>141</v>
      </c>
      <c r="H11" s="4" t="s">
        <v>142</v>
      </c>
      <c r="I11" s="4" t="s">
        <v>100</v>
      </c>
    </row>
    <row r="12" customFormat="false" ht="15" hidden="false" customHeight="false" outlineLevel="0" collapsed="false">
      <c r="A12" s="8" t="s">
        <v>153</v>
      </c>
      <c r="B12" s="9" t="s">
        <v>46</v>
      </c>
      <c r="C12" s="9" t="s">
        <v>109</v>
      </c>
      <c r="D12" s="11" t="n">
        <v>18.5</v>
      </c>
      <c r="E12" s="10" t="n">
        <v>30</v>
      </c>
      <c r="F12" s="10" t="n">
        <v>21</v>
      </c>
      <c r="G12" s="9" t="s">
        <v>141</v>
      </c>
      <c r="H12" s="9" t="s">
        <v>142</v>
      </c>
      <c r="I12" s="9" t="s">
        <v>100</v>
      </c>
    </row>
    <row r="13" customFormat="false" ht="15" hidden="false" customHeight="false" outlineLevel="0" collapsed="false">
      <c r="A13" s="3" t="s">
        <v>154</v>
      </c>
      <c r="B13" s="4" t="s">
        <v>48</v>
      </c>
      <c r="C13" s="4" t="s">
        <v>118</v>
      </c>
      <c r="D13" s="6" t="n">
        <v>4.8</v>
      </c>
      <c r="E13" s="5" t="n">
        <v>100</v>
      </c>
      <c r="F13" s="5" t="n">
        <v>7</v>
      </c>
      <c r="G13" s="4" t="s">
        <v>149</v>
      </c>
      <c r="H13" s="4" t="s">
        <v>142</v>
      </c>
      <c r="I13" s="4" t="s">
        <v>100</v>
      </c>
    </row>
    <row r="14" customFormat="false" ht="15" hidden="false" customHeight="false" outlineLevel="0" collapsed="false">
      <c r="A14" s="8" t="s">
        <v>155</v>
      </c>
      <c r="B14" s="9" t="s">
        <v>50</v>
      </c>
      <c r="C14" s="9" t="s">
        <v>109</v>
      </c>
      <c r="D14" s="11" t="n">
        <v>275</v>
      </c>
      <c r="E14" s="10" t="n">
        <v>5</v>
      </c>
      <c r="F14" s="10" t="n">
        <v>35</v>
      </c>
      <c r="G14" s="9" t="s">
        <v>141</v>
      </c>
      <c r="H14" s="9" t="s">
        <v>142</v>
      </c>
      <c r="I14" s="9" t="s">
        <v>100</v>
      </c>
    </row>
    <row r="15" customFormat="false" ht="15" hidden="false" customHeight="false" outlineLevel="0" collapsed="false">
      <c r="A15" s="3" t="s">
        <v>156</v>
      </c>
      <c r="B15" s="4" t="s">
        <v>52</v>
      </c>
      <c r="C15" s="4" t="s">
        <v>89</v>
      </c>
      <c r="D15" s="6" t="n">
        <v>8.2</v>
      </c>
      <c r="E15" s="5" t="n">
        <v>100</v>
      </c>
      <c r="F15" s="5" t="n">
        <v>10</v>
      </c>
      <c r="G15" s="4" t="s">
        <v>141</v>
      </c>
      <c r="H15" s="4" t="s">
        <v>142</v>
      </c>
      <c r="I15" s="4" t="s">
        <v>100</v>
      </c>
    </row>
    <row r="16" customFormat="false" ht="15" hidden="false" customHeight="false" outlineLevel="0" collapsed="false">
      <c r="A16" s="8" t="s">
        <v>157</v>
      </c>
      <c r="B16" s="9" t="s">
        <v>55</v>
      </c>
      <c r="C16" s="9" t="s">
        <v>89</v>
      </c>
      <c r="D16" s="11" t="n">
        <v>3.5</v>
      </c>
      <c r="E16" s="10" t="n">
        <v>200</v>
      </c>
      <c r="F16" s="10" t="n">
        <v>10</v>
      </c>
      <c r="G16" s="9" t="s">
        <v>141</v>
      </c>
      <c r="H16" s="9" t="s">
        <v>142</v>
      </c>
      <c r="I16" s="9" t="s">
        <v>100</v>
      </c>
    </row>
    <row r="17" customFormat="false" ht="15" hidden="false" customHeight="false" outlineLevel="0" collapsed="false">
      <c r="A17" s="3" t="s">
        <v>158</v>
      </c>
      <c r="B17" s="4" t="s">
        <v>57</v>
      </c>
      <c r="C17" s="4" t="s">
        <v>118</v>
      </c>
      <c r="D17" s="6" t="n">
        <v>10.5</v>
      </c>
      <c r="E17" s="5" t="n">
        <v>50</v>
      </c>
      <c r="F17" s="5" t="n">
        <v>7</v>
      </c>
      <c r="G17" s="4" t="s">
        <v>149</v>
      </c>
      <c r="H17" s="4" t="s">
        <v>142</v>
      </c>
      <c r="I17" s="4" t="s">
        <v>100</v>
      </c>
    </row>
    <row r="18" customFormat="false" ht="15" hidden="false" customHeight="false" outlineLevel="0" collapsed="false">
      <c r="A18" s="8" t="s">
        <v>159</v>
      </c>
      <c r="B18" s="9" t="s">
        <v>59</v>
      </c>
      <c r="C18" s="9" t="s">
        <v>89</v>
      </c>
      <c r="D18" s="11" t="n">
        <v>32</v>
      </c>
      <c r="E18" s="10" t="n">
        <v>25</v>
      </c>
      <c r="F18" s="10" t="n">
        <v>21</v>
      </c>
      <c r="G18" s="9" t="s">
        <v>141</v>
      </c>
      <c r="H18" s="9" t="s">
        <v>142</v>
      </c>
      <c r="I18" s="9" t="s">
        <v>100</v>
      </c>
    </row>
    <row r="19" customFormat="false" ht="15" hidden="false" customHeight="false" outlineLevel="0" collapsed="false">
      <c r="A19" s="3" t="s">
        <v>160</v>
      </c>
      <c r="B19" s="4" t="s">
        <v>61</v>
      </c>
      <c r="C19" s="4" t="s">
        <v>127</v>
      </c>
      <c r="D19" s="6" t="n">
        <v>82</v>
      </c>
      <c r="E19" s="5" t="n">
        <v>20</v>
      </c>
      <c r="F19" s="5" t="n">
        <v>42</v>
      </c>
      <c r="G19" s="4" t="s">
        <v>141</v>
      </c>
      <c r="H19" s="4" t="s">
        <v>142</v>
      </c>
      <c r="I19" s="4" t="s">
        <v>100</v>
      </c>
    </row>
    <row r="20" customFormat="false" ht="15" hidden="false" customHeight="false" outlineLevel="0" collapsed="false">
      <c r="A20" s="8" t="s">
        <v>161</v>
      </c>
      <c r="B20" s="9" t="s">
        <v>64</v>
      </c>
      <c r="C20" s="9" t="s">
        <v>127</v>
      </c>
      <c r="D20" s="11" t="n">
        <v>1580</v>
      </c>
      <c r="E20" s="10" t="n">
        <v>5</v>
      </c>
      <c r="F20" s="10" t="n">
        <v>42</v>
      </c>
      <c r="G20" s="9" t="s">
        <v>141</v>
      </c>
      <c r="H20" s="9" t="s">
        <v>142</v>
      </c>
      <c r="I20" s="9" t="s">
        <v>100</v>
      </c>
    </row>
    <row r="21" customFormat="false" ht="15" hidden="false" customHeight="false" outlineLevel="0" collapsed="false">
      <c r="A21" s="3" t="s">
        <v>162</v>
      </c>
      <c r="B21" s="4" t="s">
        <v>66</v>
      </c>
      <c r="C21" s="4" t="s">
        <v>89</v>
      </c>
      <c r="D21" s="6" t="n">
        <v>158</v>
      </c>
      <c r="E21" s="5" t="n">
        <v>10</v>
      </c>
      <c r="F21" s="5" t="n">
        <v>14</v>
      </c>
      <c r="G21" s="4" t="s">
        <v>141</v>
      </c>
      <c r="H21" s="4" t="s">
        <v>142</v>
      </c>
      <c r="I21" s="4" t="s">
        <v>100</v>
      </c>
    </row>
    <row r="22" customFormat="false" ht="15" hidden="false" customHeight="false" outlineLevel="0" collapsed="false">
      <c r="A22" s="8" t="s">
        <v>163</v>
      </c>
      <c r="B22" s="9" t="s">
        <v>70</v>
      </c>
      <c r="C22" s="9" t="s">
        <v>89</v>
      </c>
      <c r="D22" s="11" t="n">
        <v>20.5</v>
      </c>
      <c r="E22" s="10" t="n">
        <v>50</v>
      </c>
      <c r="F22" s="10" t="n">
        <v>14</v>
      </c>
      <c r="G22" s="9" t="s">
        <v>141</v>
      </c>
      <c r="H22" s="9" t="s">
        <v>142</v>
      </c>
      <c r="I22" s="9" t="s">
        <v>100</v>
      </c>
    </row>
    <row r="23" customFormat="false" ht="15" hidden="false" customHeight="false" outlineLevel="0" collapsed="false">
      <c r="A23" s="3" t="s">
        <v>164</v>
      </c>
      <c r="B23" s="4" t="s">
        <v>72</v>
      </c>
      <c r="C23" s="4" t="s">
        <v>89</v>
      </c>
      <c r="D23" s="6" t="n">
        <v>36</v>
      </c>
      <c r="E23" s="5" t="n">
        <v>20</v>
      </c>
      <c r="F23" s="5" t="n">
        <v>21</v>
      </c>
      <c r="G23" s="4" t="s">
        <v>141</v>
      </c>
      <c r="H23" s="4" t="s">
        <v>142</v>
      </c>
      <c r="I23" s="4" t="s">
        <v>100</v>
      </c>
    </row>
    <row r="24" customFormat="false" ht="15" hidden="false" customHeight="false" outlineLevel="0" collapsed="false">
      <c r="A24" s="8" t="s">
        <v>165</v>
      </c>
      <c r="B24" s="9" t="s">
        <v>74</v>
      </c>
      <c r="C24" s="9" t="s">
        <v>118</v>
      </c>
      <c r="D24" s="11" t="n">
        <v>58</v>
      </c>
      <c r="E24" s="10" t="n">
        <v>15</v>
      </c>
      <c r="F24" s="10" t="n">
        <v>7</v>
      </c>
      <c r="G24" s="9" t="s">
        <v>149</v>
      </c>
      <c r="H24" s="9" t="s">
        <v>142</v>
      </c>
      <c r="I24" s="9" t="s">
        <v>100</v>
      </c>
    </row>
  </sheetData>
  <mergeCells count="1">
    <mergeCell ref="A1:I1"/>
  </mergeCells>
  <conditionalFormatting sqref="I3:I24">
    <cfRule type="cellIs" priority="2" operator="equal" aboveAverage="0" equalAverage="0" bottom="0" percent="0" rank="0" text="" dxfId="0">
      <formula>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22"/>
    <col collapsed="false" customWidth="true" hidden="false" outlineLevel="0" max="6" min="6" style="0" width="16"/>
    <col collapsed="false" customWidth="true" hidden="false" outlineLevel="0" max="7" min="7" style="0" width="20"/>
    <col collapsed="false" customWidth="true" hidden="false" outlineLevel="0" max="9" min="8" style="0" width="22"/>
    <col collapsed="false" customWidth="true" hidden="false" outlineLevel="0" max="11" min="10" style="0" width="18"/>
    <col collapsed="false" customWidth="true" hidden="false" outlineLevel="0" max="13" min="12" style="0" width="22"/>
    <col collapsed="false" customWidth="true" hidden="false" outlineLevel="0" max="14" min="14" style="0" width="26"/>
  </cols>
  <sheetData>
    <row r="1" customFormat="false" ht="19.5" hidden="false" customHeight="true" outlineLevel="0" collapsed="false">
      <c r="A1" s="1" t="s">
        <v>166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77</v>
      </c>
      <c r="D2" s="2" t="s">
        <v>84</v>
      </c>
      <c r="E2" s="2" t="s">
        <v>167</v>
      </c>
      <c r="F2" s="2" t="s">
        <v>168</v>
      </c>
      <c r="G2" s="2" t="s">
        <v>169</v>
      </c>
      <c r="H2" s="2" t="s">
        <v>170</v>
      </c>
      <c r="I2" s="2" t="s">
        <v>171</v>
      </c>
      <c r="J2" s="2" t="s">
        <v>172</v>
      </c>
      <c r="K2" s="2" t="s">
        <v>173</v>
      </c>
      <c r="L2" s="2" t="s">
        <v>174</v>
      </c>
      <c r="M2" s="2" t="s">
        <v>175</v>
      </c>
      <c r="N2" s="2" t="s">
        <v>176</v>
      </c>
    </row>
    <row r="3" customFormat="false" ht="15" hidden="false" customHeight="false" outlineLevel="0" collapsed="false">
      <c r="A3" s="3" t="s">
        <v>15</v>
      </c>
      <c r="B3" s="4" t="s">
        <v>16</v>
      </c>
      <c r="C3" s="4" t="s">
        <v>89</v>
      </c>
      <c r="D3" s="4" t="s">
        <v>96</v>
      </c>
      <c r="E3" s="6" t="n">
        <v>24.5</v>
      </c>
      <c r="F3" s="4" t="n">
        <v>0.63</v>
      </c>
      <c r="G3" s="6" t="n">
        <v>38.89</v>
      </c>
      <c r="H3" s="6" t="n">
        <v>2.8</v>
      </c>
      <c r="I3" s="6" t="n">
        <v>0.95</v>
      </c>
      <c r="J3" s="13" t="n">
        <v>0.05</v>
      </c>
      <c r="K3" s="6" t="n">
        <v>1.94</v>
      </c>
      <c r="L3" s="6" t="n">
        <v>1.2</v>
      </c>
      <c r="M3" s="6" t="n">
        <v>45.78</v>
      </c>
      <c r="N3" s="6" t="n">
        <v>0.78</v>
      </c>
    </row>
    <row r="4" customFormat="false" ht="15" hidden="false" customHeight="false" outlineLevel="0" collapsed="false">
      <c r="A4" s="8" t="s">
        <v>24</v>
      </c>
      <c r="B4" s="9" t="s">
        <v>25</v>
      </c>
      <c r="C4" s="9" t="s">
        <v>89</v>
      </c>
      <c r="D4" s="9" t="s">
        <v>96</v>
      </c>
      <c r="E4" s="11" t="n">
        <v>6.6</v>
      </c>
      <c r="F4" s="9" t="n">
        <v>0.63</v>
      </c>
      <c r="G4" s="11" t="n">
        <v>10.48</v>
      </c>
      <c r="H4" s="11" t="n">
        <v>0.85</v>
      </c>
      <c r="I4" s="11" t="n">
        <v>0.4</v>
      </c>
      <c r="J4" s="14" t="n">
        <v>0.05</v>
      </c>
      <c r="K4" s="11" t="n">
        <v>0.52</v>
      </c>
      <c r="L4" s="11" t="n">
        <v>0.55</v>
      </c>
      <c r="M4" s="11" t="n">
        <v>12.8</v>
      </c>
      <c r="N4" s="11" t="n">
        <v>0.3</v>
      </c>
    </row>
    <row r="5" customFormat="false" ht="15" hidden="false" customHeight="false" outlineLevel="0" collapsed="false">
      <c r="A5" s="3" t="s">
        <v>28</v>
      </c>
      <c r="B5" s="4" t="s">
        <v>29</v>
      </c>
      <c r="C5" s="4" t="s">
        <v>89</v>
      </c>
      <c r="D5" s="4" t="s">
        <v>96</v>
      </c>
      <c r="E5" s="6" t="n">
        <v>15.1</v>
      </c>
      <c r="F5" s="4" t="n">
        <v>0.63</v>
      </c>
      <c r="G5" s="6" t="n">
        <v>23.97</v>
      </c>
      <c r="H5" s="6" t="n">
        <v>1.5</v>
      </c>
      <c r="I5" s="6" t="n">
        <v>0.6</v>
      </c>
      <c r="J5" s="13" t="n">
        <v>0.05</v>
      </c>
      <c r="K5" s="6" t="n">
        <v>1.2</v>
      </c>
      <c r="L5" s="6" t="n">
        <v>0.9</v>
      </c>
      <c r="M5" s="6" t="n">
        <v>28.17</v>
      </c>
      <c r="N5" s="6" t="n">
        <v>0.17</v>
      </c>
    </row>
    <row r="6" customFormat="false" ht="15" hidden="false" customHeight="false" outlineLevel="0" collapsed="false">
      <c r="A6" s="8" t="s">
        <v>40</v>
      </c>
      <c r="B6" s="9" t="s">
        <v>41</v>
      </c>
      <c r="C6" s="9" t="s">
        <v>89</v>
      </c>
      <c r="D6" s="9" t="s">
        <v>96</v>
      </c>
      <c r="E6" s="11" t="n">
        <v>98</v>
      </c>
      <c r="F6" s="9" t="n">
        <v>0.63</v>
      </c>
      <c r="G6" s="11" t="n">
        <v>155.56</v>
      </c>
      <c r="H6" s="11" t="n">
        <v>8.5</v>
      </c>
      <c r="I6" s="11" t="n">
        <v>2.2</v>
      </c>
      <c r="J6" s="14" t="n">
        <v>0.05</v>
      </c>
      <c r="K6" s="11" t="n">
        <v>7.78</v>
      </c>
      <c r="L6" s="11" t="n">
        <v>3.8</v>
      </c>
      <c r="M6" s="11" t="n">
        <v>177.84</v>
      </c>
      <c r="N6" s="11" t="n">
        <v>-7.16</v>
      </c>
    </row>
    <row r="7" customFormat="false" ht="15" hidden="false" customHeight="false" outlineLevel="0" collapsed="false">
      <c r="A7" s="3" t="s">
        <v>50</v>
      </c>
      <c r="B7" s="4" t="s">
        <v>51</v>
      </c>
      <c r="C7" s="4" t="s">
        <v>109</v>
      </c>
      <c r="D7" s="4" t="s">
        <v>115</v>
      </c>
      <c r="E7" s="6" t="n">
        <v>178</v>
      </c>
      <c r="F7" s="4" t="n">
        <v>0.6</v>
      </c>
      <c r="G7" s="6" t="n">
        <v>296.67</v>
      </c>
      <c r="H7" s="6" t="n">
        <v>0</v>
      </c>
      <c r="I7" s="6" t="n">
        <v>0</v>
      </c>
      <c r="J7" s="13" t="n">
        <v>0</v>
      </c>
      <c r="K7" s="6" t="n">
        <v>0</v>
      </c>
      <c r="L7" s="6" t="n">
        <v>4.5</v>
      </c>
      <c r="M7" s="6" t="n">
        <v>301.17</v>
      </c>
      <c r="N7" s="6" t="n">
        <v>-18.83</v>
      </c>
    </row>
    <row r="10" customFormat="false" ht="19.5" hidden="false" customHeight="true" outlineLevel="0" collapsed="false">
      <c r="A10" s="15" t="s">
        <v>177</v>
      </c>
      <c r="B10" s="15"/>
      <c r="C10" s="15"/>
      <c r="D10" s="15"/>
    </row>
    <row r="11" customFormat="false" ht="15" hidden="false" customHeight="false" outlineLevel="0" collapsed="false">
      <c r="A11" s="16" t="s">
        <v>96</v>
      </c>
      <c r="B11" s="7" t="s">
        <v>178</v>
      </c>
      <c r="C11" s="17" t="s">
        <v>179</v>
      </c>
      <c r="D11" s="17"/>
    </row>
    <row r="12" customFormat="false" ht="15" hidden="false" customHeight="false" outlineLevel="0" collapsed="false">
      <c r="A12" s="18" t="s">
        <v>115</v>
      </c>
      <c r="B12" s="12" t="s">
        <v>180</v>
      </c>
      <c r="C12" s="19" t="s">
        <v>181</v>
      </c>
      <c r="D12" s="19"/>
    </row>
    <row r="13" customFormat="false" ht="15" hidden="false" customHeight="false" outlineLevel="0" collapsed="false">
      <c r="A13" s="16" t="s">
        <v>182</v>
      </c>
      <c r="B13" s="7" t="s">
        <v>183</v>
      </c>
      <c r="C13" s="17" t="s">
        <v>184</v>
      </c>
      <c r="D13" s="17"/>
    </row>
  </sheetData>
  <mergeCells count="5">
    <mergeCell ref="A1:N1"/>
    <mergeCell ref="A10:D10"/>
    <mergeCell ref="C11:D11"/>
    <mergeCell ref="C12:D12"/>
    <mergeCell ref="C13:D13"/>
  </mergeCells>
  <conditionalFormatting sqref="N3:N7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10"/>
    <col collapsed="false" customWidth="true" hidden="false" outlineLevel="0" max="9" min="9" style="0" width="30"/>
    <col collapsed="false" customWidth="true" hidden="false" outlineLevel="0" max="10" min="10" style="0" width="22"/>
    <col collapsed="false" customWidth="true" hidden="false" outlineLevel="0" max="11" min="11" style="0" width="18"/>
    <col collapsed="false" customWidth="true" hidden="false" outlineLevel="0" max="12" min="12" style="0" width="13"/>
    <col collapsed="false" customWidth="true" hidden="false" outlineLevel="0" max="13" min="13" style="0" width="20"/>
    <col collapsed="false" customWidth="true" hidden="false" outlineLevel="0" max="14" min="14" style="0" width="18"/>
    <col collapsed="false" customWidth="true" hidden="false" outlineLevel="0" max="15" min="15" style="0" width="16"/>
  </cols>
  <sheetData>
    <row r="1" customFormat="false" ht="19.5" hidden="false" customHeight="true" outlineLevel="0" collapsed="false">
      <c r="A1" s="1" t="s">
        <v>185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" hidden="false" customHeight="false" outlineLevel="0" collapsed="false">
      <c r="A2" s="2" t="s">
        <v>186</v>
      </c>
      <c r="B2" s="2" t="s">
        <v>1</v>
      </c>
      <c r="C2" s="2" t="s">
        <v>77</v>
      </c>
      <c r="D2" s="2" t="s">
        <v>187</v>
      </c>
      <c r="E2" s="2" t="s">
        <v>188</v>
      </c>
      <c r="F2" s="2" t="s">
        <v>189</v>
      </c>
      <c r="G2" s="2" t="s">
        <v>190</v>
      </c>
      <c r="H2" s="2" t="s">
        <v>191</v>
      </c>
      <c r="I2" s="2" t="s">
        <v>192</v>
      </c>
      <c r="J2" s="2" t="s">
        <v>193</v>
      </c>
      <c r="K2" s="2" t="s">
        <v>194</v>
      </c>
      <c r="L2" s="2" t="s">
        <v>195</v>
      </c>
      <c r="M2" s="2" t="s">
        <v>196</v>
      </c>
      <c r="N2" s="2" t="s">
        <v>197</v>
      </c>
      <c r="O2" s="2" t="s">
        <v>198</v>
      </c>
    </row>
    <row r="3" customFormat="false" ht="15" hidden="false" customHeight="false" outlineLevel="0" collapsed="false">
      <c r="A3" s="4" t="s">
        <v>199</v>
      </c>
      <c r="B3" s="4" t="s">
        <v>15</v>
      </c>
      <c r="C3" s="4" t="s">
        <v>89</v>
      </c>
      <c r="D3" s="5" t="n">
        <v>100</v>
      </c>
      <c r="E3" s="6" t="n">
        <v>38.5</v>
      </c>
      <c r="F3" s="20" t="n">
        <v>46027</v>
      </c>
      <c r="G3" s="20" t="n">
        <v>46041</v>
      </c>
      <c r="H3" s="4" t="s">
        <v>200</v>
      </c>
      <c r="I3" s="4" t="s">
        <v>201</v>
      </c>
      <c r="J3" s="4" t="s">
        <v>202</v>
      </c>
      <c r="K3" s="20" t="n">
        <v>46040</v>
      </c>
      <c r="L3" s="5" t="n">
        <v>100</v>
      </c>
      <c r="M3" s="6" t="n">
        <v>3850</v>
      </c>
      <c r="N3" s="21" t="s">
        <v>203</v>
      </c>
      <c r="O3" s="4"/>
    </row>
    <row r="4" customFormat="false" ht="15" hidden="false" customHeight="false" outlineLevel="0" collapsed="false">
      <c r="A4" s="9" t="s">
        <v>199</v>
      </c>
      <c r="B4" s="9" t="s">
        <v>15</v>
      </c>
      <c r="C4" s="9" t="s">
        <v>89</v>
      </c>
      <c r="D4" s="10" t="n">
        <v>100</v>
      </c>
      <c r="E4" s="11" t="n">
        <v>38.5</v>
      </c>
      <c r="F4" s="22" t="n">
        <v>46027</v>
      </c>
      <c r="G4" s="22" t="n">
        <v>46041</v>
      </c>
      <c r="H4" s="9" t="s">
        <v>204</v>
      </c>
      <c r="I4" s="9" t="s">
        <v>205</v>
      </c>
      <c r="J4" s="9" t="s">
        <v>206</v>
      </c>
      <c r="K4" s="22" t="n">
        <v>46040</v>
      </c>
      <c r="L4" s="10" t="n">
        <v>100</v>
      </c>
      <c r="M4" s="11" t="n">
        <v>3850</v>
      </c>
      <c r="N4" s="21" t="s">
        <v>203</v>
      </c>
      <c r="O4" s="9"/>
    </row>
    <row r="5" customFormat="false" ht="15" hidden="false" customHeight="false" outlineLevel="0" collapsed="false">
      <c r="A5" s="4" t="s">
        <v>199</v>
      </c>
      <c r="B5" s="4" t="s">
        <v>15</v>
      </c>
      <c r="C5" s="4" t="s">
        <v>89</v>
      </c>
      <c r="D5" s="5" t="n">
        <v>100</v>
      </c>
      <c r="E5" s="6" t="n">
        <v>38.5</v>
      </c>
      <c r="F5" s="20" t="n">
        <v>46027</v>
      </c>
      <c r="G5" s="20" t="n">
        <v>46041</v>
      </c>
      <c r="H5" s="4" t="s">
        <v>207</v>
      </c>
      <c r="I5" s="4" t="s">
        <v>208</v>
      </c>
      <c r="J5" s="4" t="s">
        <v>209</v>
      </c>
      <c r="K5" s="20" t="n">
        <v>46042</v>
      </c>
      <c r="L5" s="5" t="n">
        <v>100</v>
      </c>
      <c r="M5" s="6" t="n">
        <v>3850</v>
      </c>
      <c r="N5" s="21" t="s">
        <v>203</v>
      </c>
      <c r="O5" s="4" t="s">
        <v>210</v>
      </c>
    </row>
    <row r="6" customFormat="false" ht="15" hidden="false" customHeight="false" outlineLevel="0" collapsed="false">
      <c r="A6" s="9" t="s">
        <v>211</v>
      </c>
      <c r="B6" s="9" t="s">
        <v>24</v>
      </c>
      <c r="C6" s="9" t="s">
        <v>89</v>
      </c>
      <c r="D6" s="10" t="n">
        <v>300</v>
      </c>
      <c r="E6" s="11" t="n">
        <v>10.2</v>
      </c>
      <c r="F6" s="22" t="n">
        <v>46030</v>
      </c>
      <c r="G6" s="22" t="n">
        <v>46040</v>
      </c>
      <c r="H6" s="9" t="s">
        <v>200</v>
      </c>
      <c r="I6" s="9" t="s">
        <v>201</v>
      </c>
      <c r="J6" s="9" t="s">
        <v>202</v>
      </c>
      <c r="K6" s="22" t="n">
        <v>46039</v>
      </c>
      <c r="L6" s="10" t="n">
        <v>300</v>
      </c>
      <c r="M6" s="11" t="n">
        <v>3060</v>
      </c>
      <c r="N6" s="21" t="s">
        <v>203</v>
      </c>
      <c r="O6" s="9"/>
    </row>
    <row r="7" customFormat="false" ht="15" hidden="false" customHeight="false" outlineLevel="0" collapsed="false">
      <c r="A7" s="4" t="s">
        <v>211</v>
      </c>
      <c r="B7" s="4" t="s">
        <v>24</v>
      </c>
      <c r="C7" s="4" t="s">
        <v>89</v>
      </c>
      <c r="D7" s="5" t="n">
        <v>300</v>
      </c>
      <c r="E7" s="6" t="n">
        <v>10.2</v>
      </c>
      <c r="F7" s="20" t="n">
        <v>46030</v>
      </c>
      <c r="G7" s="20" t="n">
        <v>46040</v>
      </c>
      <c r="H7" s="4" t="s">
        <v>204</v>
      </c>
      <c r="I7" s="4" t="s">
        <v>205</v>
      </c>
      <c r="J7" s="4" t="s">
        <v>206</v>
      </c>
      <c r="K7" s="20" t="n">
        <v>46039</v>
      </c>
      <c r="L7" s="5" t="n">
        <v>300</v>
      </c>
      <c r="M7" s="6" t="n">
        <v>3060</v>
      </c>
      <c r="N7" s="21" t="s">
        <v>203</v>
      </c>
      <c r="O7" s="4"/>
    </row>
    <row r="8" customFormat="false" ht="15" hidden="false" customHeight="false" outlineLevel="0" collapsed="false">
      <c r="A8" s="9" t="s">
        <v>211</v>
      </c>
      <c r="B8" s="9" t="s">
        <v>24</v>
      </c>
      <c r="C8" s="9" t="s">
        <v>89</v>
      </c>
      <c r="D8" s="10" t="n">
        <v>300</v>
      </c>
      <c r="E8" s="11" t="n">
        <v>10.2</v>
      </c>
      <c r="F8" s="22" t="n">
        <v>46030</v>
      </c>
      <c r="G8" s="22" t="n">
        <v>46040</v>
      </c>
      <c r="H8" s="9" t="s">
        <v>207</v>
      </c>
      <c r="I8" s="9" t="s">
        <v>208</v>
      </c>
      <c r="J8" s="9" t="s">
        <v>209</v>
      </c>
      <c r="K8" s="22" t="n">
        <v>46041</v>
      </c>
      <c r="L8" s="10" t="n">
        <v>300</v>
      </c>
      <c r="M8" s="11" t="n">
        <v>3060</v>
      </c>
      <c r="N8" s="21" t="s">
        <v>203</v>
      </c>
      <c r="O8" s="9" t="s">
        <v>210</v>
      </c>
    </row>
    <row r="9" customFormat="false" ht="15" hidden="false" customHeight="false" outlineLevel="0" collapsed="false">
      <c r="A9" s="4" t="s">
        <v>212</v>
      </c>
      <c r="B9" s="4" t="s">
        <v>33</v>
      </c>
      <c r="C9" s="4" t="s">
        <v>118</v>
      </c>
      <c r="D9" s="5" t="n">
        <v>120</v>
      </c>
      <c r="E9" s="6" t="n">
        <v>15.8</v>
      </c>
      <c r="F9" s="20" t="n">
        <v>46032</v>
      </c>
      <c r="G9" s="20" t="n">
        <v>46039</v>
      </c>
      <c r="H9" s="4" t="s">
        <v>200</v>
      </c>
      <c r="I9" s="4" t="s">
        <v>201</v>
      </c>
      <c r="J9" s="4" t="s">
        <v>202</v>
      </c>
      <c r="K9" s="20" t="n">
        <v>46038</v>
      </c>
      <c r="L9" s="5" t="n">
        <v>120</v>
      </c>
      <c r="M9" s="6" t="n">
        <v>1896</v>
      </c>
      <c r="N9" s="21" t="s">
        <v>203</v>
      </c>
      <c r="O9" s="4"/>
    </row>
    <row r="10" customFormat="false" ht="15" hidden="false" customHeight="false" outlineLevel="0" collapsed="false">
      <c r="A10" s="9" t="s">
        <v>212</v>
      </c>
      <c r="B10" s="9" t="s">
        <v>33</v>
      </c>
      <c r="C10" s="9" t="s">
        <v>118</v>
      </c>
      <c r="D10" s="10" t="n">
        <v>120</v>
      </c>
      <c r="E10" s="11" t="n">
        <v>15.8</v>
      </c>
      <c r="F10" s="22" t="n">
        <v>46032</v>
      </c>
      <c r="G10" s="22" t="n">
        <v>46039</v>
      </c>
      <c r="H10" s="9" t="s">
        <v>204</v>
      </c>
      <c r="I10" s="9" t="s">
        <v>205</v>
      </c>
      <c r="J10" s="9" t="s">
        <v>206</v>
      </c>
      <c r="K10" s="22" t="n">
        <v>46038</v>
      </c>
      <c r="L10" s="10" t="n">
        <v>120</v>
      </c>
      <c r="M10" s="11" t="n">
        <v>1896</v>
      </c>
      <c r="N10" s="21" t="s">
        <v>203</v>
      </c>
      <c r="O10" s="9"/>
    </row>
    <row r="11" customFormat="false" ht="15" hidden="false" customHeight="false" outlineLevel="0" collapsed="false">
      <c r="A11" s="4" t="s">
        <v>212</v>
      </c>
      <c r="B11" s="4" t="s">
        <v>33</v>
      </c>
      <c r="C11" s="4" t="s">
        <v>118</v>
      </c>
      <c r="D11" s="5" t="n">
        <v>120</v>
      </c>
      <c r="E11" s="6" t="n">
        <v>15.8</v>
      </c>
      <c r="F11" s="20" t="n">
        <v>46032</v>
      </c>
      <c r="G11" s="20" t="n">
        <v>46039</v>
      </c>
      <c r="H11" s="4" t="s">
        <v>207</v>
      </c>
      <c r="I11" s="4" t="s">
        <v>208</v>
      </c>
      <c r="J11" s="4" t="s">
        <v>209</v>
      </c>
      <c r="K11" s="20" t="n">
        <v>46040</v>
      </c>
      <c r="L11" s="5" t="n">
        <v>120</v>
      </c>
      <c r="M11" s="6" t="n">
        <v>1896</v>
      </c>
      <c r="N11" s="21" t="s">
        <v>203</v>
      </c>
      <c r="O11" s="4" t="s">
        <v>210</v>
      </c>
    </row>
    <row r="12" customFormat="false" ht="15" hidden="false" customHeight="false" outlineLevel="0" collapsed="false">
      <c r="A12" s="9" t="s">
        <v>213</v>
      </c>
      <c r="B12" s="9" t="s">
        <v>37</v>
      </c>
      <c r="C12" s="9" t="s">
        <v>118</v>
      </c>
      <c r="D12" s="10" t="n">
        <v>300</v>
      </c>
      <c r="E12" s="11" t="n">
        <v>7.2</v>
      </c>
      <c r="F12" s="22" t="n">
        <v>46034</v>
      </c>
      <c r="G12" s="22" t="n">
        <v>46041</v>
      </c>
      <c r="H12" s="9" t="s">
        <v>200</v>
      </c>
      <c r="I12" s="9" t="s">
        <v>201</v>
      </c>
      <c r="J12" s="9" t="s">
        <v>202</v>
      </c>
      <c r="K12" s="22" t="n">
        <v>46041</v>
      </c>
      <c r="L12" s="10" t="n">
        <v>300</v>
      </c>
      <c r="M12" s="11" t="n">
        <v>2160</v>
      </c>
      <c r="N12" s="21" t="s">
        <v>203</v>
      </c>
      <c r="O12" s="9"/>
    </row>
    <row r="13" customFormat="false" ht="15" hidden="false" customHeight="false" outlineLevel="0" collapsed="false">
      <c r="A13" s="4" t="s">
        <v>213</v>
      </c>
      <c r="B13" s="4" t="s">
        <v>37</v>
      </c>
      <c r="C13" s="4" t="s">
        <v>118</v>
      </c>
      <c r="D13" s="5" t="n">
        <v>300</v>
      </c>
      <c r="E13" s="6" t="n">
        <v>7.2</v>
      </c>
      <c r="F13" s="20" t="n">
        <v>46034</v>
      </c>
      <c r="G13" s="20" t="n">
        <v>46041</v>
      </c>
      <c r="H13" s="4" t="s">
        <v>204</v>
      </c>
      <c r="I13" s="4" t="s">
        <v>205</v>
      </c>
      <c r="J13" s="4" t="s">
        <v>206</v>
      </c>
      <c r="K13" s="20" t="n">
        <v>46041</v>
      </c>
      <c r="L13" s="5" t="n">
        <v>300</v>
      </c>
      <c r="M13" s="6" t="n">
        <v>2160</v>
      </c>
      <c r="N13" s="21" t="s">
        <v>203</v>
      </c>
      <c r="O13" s="4"/>
    </row>
    <row r="14" customFormat="false" ht="15" hidden="false" customHeight="false" outlineLevel="0" collapsed="false">
      <c r="A14" s="9" t="s">
        <v>213</v>
      </c>
      <c r="B14" s="9" t="s">
        <v>37</v>
      </c>
      <c r="C14" s="9" t="s">
        <v>118</v>
      </c>
      <c r="D14" s="10" t="n">
        <v>300</v>
      </c>
      <c r="E14" s="11" t="n">
        <v>7.2</v>
      </c>
      <c r="F14" s="22" t="n">
        <v>46034</v>
      </c>
      <c r="G14" s="22" t="n">
        <v>46041</v>
      </c>
      <c r="H14" s="9" t="s">
        <v>207</v>
      </c>
      <c r="I14" s="9" t="s">
        <v>208</v>
      </c>
      <c r="J14" s="9" t="s">
        <v>209</v>
      </c>
      <c r="K14" s="22" t="n">
        <v>46043</v>
      </c>
      <c r="L14" s="10" t="n">
        <v>300</v>
      </c>
      <c r="M14" s="11" t="n">
        <v>2160</v>
      </c>
      <c r="N14" s="21" t="s">
        <v>203</v>
      </c>
      <c r="O14" s="9" t="s">
        <v>210</v>
      </c>
    </row>
    <row r="15" customFormat="false" ht="15" hidden="false" customHeight="false" outlineLevel="0" collapsed="false">
      <c r="A15" s="4" t="s">
        <v>214</v>
      </c>
      <c r="B15" s="4" t="s">
        <v>48</v>
      </c>
      <c r="C15" s="4" t="s">
        <v>118</v>
      </c>
      <c r="D15" s="5" t="n">
        <v>200</v>
      </c>
      <c r="E15" s="6" t="n">
        <v>4.8</v>
      </c>
      <c r="F15" s="20" t="n">
        <v>46037</v>
      </c>
      <c r="G15" s="20" t="n">
        <v>46044</v>
      </c>
      <c r="H15" s="4" t="s">
        <v>200</v>
      </c>
      <c r="I15" s="4" t="s">
        <v>201</v>
      </c>
      <c r="J15" s="4" t="s">
        <v>202</v>
      </c>
      <c r="K15" s="20" t="n">
        <v>46044</v>
      </c>
      <c r="L15" s="5" t="n">
        <v>200</v>
      </c>
      <c r="M15" s="6" t="n">
        <v>960</v>
      </c>
      <c r="N15" s="21" t="s">
        <v>203</v>
      </c>
      <c r="O15" s="4"/>
    </row>
    <row r="16" customFormat="false" ht="15" hidden="false" customHeight="false" outlineLevel="0" collapsed="false">
      <c r="A16" s="9" t="s">
        <v>214</v>
      </c>
      <c r="B16" s="9" t="s">
        <v>48</v>
      </c>
      <c r="C16" s="9" t="s">
        <v>118</v>
      </c>
      <c r="D16" s="10" t="n">
        <v>200</v>
      </c>
      <c r="E16" s="11" t="n">
        <v>4.8</v>
      </c>
      <c r="F16" s="22" t="n">
        <v>46037</v>
      </c>
      <c r="G16" s="22" t="n">
        <v>46044</v>
      </c>
      <c r="H16" s="9" t="s">
        <v>204</v>
      </c>
      <c r="I16" s="9" t="s">
        <v>205</v>
      </c>
      <c r="J16" s="9" t="s">
        <v>206</v>
      </c>
      <c r="K16" s="22" t="n">
        <v>46044</v>
      </c>
      <c r="L16" s="10" t="n">
        <v>200</v>
      </c>
      <c r="M16" s="11" t="n">
        <v>960</v>
      </c>
      <c r="N16" s="21" t="s">
        <v>203</v>
      </c>
      <c r="O16" s="9"/>
    </row>
    <row r="17" customFormat="false" ht="15" hidden="false" customHeight="false" outlineLevel="0" collapsed="false">
      <c r="A17" s="4" t="s">
        <v>214</v>
      </c>
      <c r="B17" s="4" t="s">
        <v>48</v>
      </c>
      <c r="C17" s="4" t="s">
        <v>118</v>
      </c>
      <c r="D17" s="5" t="n">
        <v>200</v>
      </c>
      <c r="E17" s="6" t="n">
        <v>4.8</v>
      </c>
      <c r="F17" s="20" t="n">
        <v>46037</v>
      </c>
      <c r="G17" s="20" t="n">
        <v>46044</v>
      </c>
      <c r="H17" s="4" t="s">
        <v>207</v>
      </c>
      <c r="I17" s="4" t="s">
        <v>208</v>
      </c>
      <c r="J17" s="4" t="s">
        <v>209</v>
      </c>
      <c r="K17" s="20" t="n">
        <v>46046</v>
      </c>
      <c r="L17" s="5" t="n">
        <v>200</v>
      </c>
      <c r="M17" s="6" t="n">
        <v>960</v>
      </c>
      <c r="N17" s="21" t="s">
        <v>203</v>
      </c>
      <c r="O17" s="4" t="s">
        <v>210</v>
      </c>
    </row>
    <row r="18" customFormat="false" ht="15" hidden="false" customHeight="false" outlineLevel="0" collapsed="false">
      <c r="A18" s="9" t="s">
        <v>215</v>
      </c>
      <c r="B18" s="9" t="s">
        <v>28</v>
      </c>
      <c r="C18" s="9" t="s">
        <v>89</v>
      </c>
      <c r="D18" s="10" t="n">
        <v>80</v>
      </c>
      <c r="E18" s="11" t="n">
        <v>23.5</v>
      </c>
      <c r="F18" s="22" t="n">
        <v>46056</v>
      </c>
      <c r="G18" s="22" t="n">
        <v>46077</v>
      </c>
      <c r="H18" s="9" t="s">
        <v>200</v>
      </c>
      <c r="I18" s="9" t="s">
        <v>201</v>
      </c>
      <c r="J18" s="9" t="s">
        <v>202</v>
      </c>
      <c r="K18" s="22" t="n">
        <v>46078</v>
      </c>
      <c r="L18" s="10" t="n">
        <v>60</v>
      </c>
      <c r="M18" s="11" t="n">
        <v>1880</v>
      </c>
      <c r="N18" s="23" t="s">
        <v>216</v>
      </c>
      <c r="O18" s="9"/>
    </row>
    <row r="19" customFormat="false" ht="15" hidden="false" customHeight="false" outlineLevel="0" collapsed="false">
      <c r="A19" s="4" t="s">
        <v>215</v>
      </c>
      <c r="B19" s="4" t="s">
        <v>28</v>
      </c>
      <c r="C19" s="4" t="s">
        <v>89</v>
      </c>
      <c r="D19" s="5" t="n">
        <v>80</v>
      </c>
      <c r="E19" s="6" t="n">
        <v>23.5</v>
      </c>
      <c r="F19" s="20" t="n">
        <v>46056</v>
      </c>
      <c r="G19" s="20" t="n">
        <v>46077</v>
      </c>
      <c r="H19" s="4" t="s">
        <v>204</v>
      </c>
      <c r="I19" s="4" t="s">
        <v>217</v>
      </c>
      <c r="J19" s="4" t="s">
        <v>218</v>
      </c>
      <c r="K19" s="20" t="n">
        <v>46078</v>
      </c>
      <c r="L19" s="5" t="n">
        <v>60</v>
      </c>
      <c r="M19" s="6" t="n">
        <v>1880</v>
      </c>
      <c r="N19" s="23" t="s">
        <v>216</v>
      </c>
      <c r="O19" s="4"/>
    </row>
    <row r="20" customFormat="false" ht="15" hidden="false" customHeight="false" outlineLevel="0" collapsed="false">
      <c r="A20" s="9" t="s">
        <v>215</v>
      </c>
      <c r="B20" s="9" t="s">
        <v>28</v>
      </c>
      <c r="C20" s="9" t="s">
        <v>89</v>
      </c>
      <c r="D20" s="10" t="n">
        <v>80</v>
      </c>
      <c r="E20" s="11" t="n">
        <v>23.5</v>
      </c>
      <c r="F20" s="22" t="n">
        <v>46056</v>
      </c>
      <c r="G20" s="22" t="n">
        <v>46077</v>
      </c>
      <c r="H20" s="9" t="s">
        <v>207</v>
      </c>
      <c r="I20" s="9" t="s">
        <v>219</v>
      </c>
      <c r="J20" s="9" t="s">
        <v>220</v>
      </c>
      <c r="K20" s="22" t="n">
        <v>46080</v>
      </c>
      <c r="L20" s="10" t="n">
        <v>60</v>
      </c>
      <c r="M20" s="11" t="n">
        <v>1880</v>
      </c>
      <c r="N20" s="23" t="s">
        <v>216</v>
      </c>
      <c r="O20" s="9" t="s">
        <v>221</v>
      </c>
    </row>
    <row r="21" customFormat="false" ht="15" hidden="false" customHeight="false" outlineLevel="0" collapsed="false">
      <c r="A21" s="4" t="s">
        <v>222</v>
      </c>
      <c r="B21" s="4" t="s">
        <v>44</v>
      </c>
      <c r="C21" s="4" t="s">
        <v>89</v>
      </c>
      <c r="D21" s="5" t="n">
        <v>600</v>
      </c>
      <c r="E21" s="6" t="n">
        <v>2.8</v>
      </c>
      <c r="F21" s="20" t="n">
        <v>46058</v>
      </c>
      <c r="G21" s="20" t="n">
        <v>46072</v>
      </c>
      <c r="H21" s="4" t="s">
        <v>200</v>
      </c>
      <c r="I21" s="4" t="s">
        <v>201</v>
      </c>
      <c r="J21" s="4" t="s">
        <v>202</v>
      </c>
      <c r="K21" s="20" t="n">
        <v>46074</v>
      </c>
      <c r="L21" s="5" t="n">
        <v>480</v>
      </c>
      <c r="M21" s="6" t="n">
        <v>1680</v>
      </c>
      <c r="N21" s="23" t="s">
        <v>216</v>
      </c>
      <c r="O21" s="4"/>
    </row>
    <row r="22" customFormat="false" ht="15" hidden="false" customHeight="false" outlineLevel="0" collapsed="false">
      <c r="A22" s="9" t="s">
        <v>222</v>
      </c>
      <c r="B22" s="9" t="s">
        <v>44</v>
      </c>
      <c r="C22" s="9" t="s">
        <v>89</v>
      </c>
      <c r="D22" s="10" t="n">
        <v>600</v>
      </c>
      <c r="E22" s="11" t="n">
        <v>2.8</v>
      </c>
      <c r="F22" s="22" t="n">
        <v>46058</v>
      </c>
      <c r="G22" s="22" t="n">
        <v>46072</v>
      </c>
      <c r="H22" s="9" t="s">
        <v>204</v>
      </c>
      <c r="I22" s="9" t="s">
        <v>217</v>
      </c>
      <c r="J22" s="9" t="s">
        <v>218</v>
      </c>
      <c r="K22" s="22" t="n">
        <v>46074</v>
      </c>
      <c r="L22" s="10" t="n">
        <v>480</v>
      </c>
      <c r="M22" s="11" t="n">
        <v>1680</v>
      </c>
      <c r="N22" s="23" t="s">
        <v>216</v>
      </c>
      <c r="O22" s="9"/>
    </row>
    <row r="23" customFormat="false" ht="15" hidden="false" customHeight="false" outlineLevel="0" collapsed="false">
      <c r="A23" s="4" t="s">
        <v>222</v>
      </c>
      <c r="B23" s="4" t="s">
        <v>44</v>
      </c>
      <c r="C23" s="4" t="s">
        <v>89</v>
      </c>
      <c r="D23" s="5" t="n">
        <v>600</v>
      </c>
      <c r="E23" s="6" t="n">
        <v>2.8</v>
      </c>
      <c r="F23" s="20" t="n">
        <v>46058</v>
      </c>
      <c r="G23" s="20" t="n">
        <v>46072</v>
      </c>
      <c r="H23" s="4" t="s">
        <v>207</v>
      </c>
      <c r="I23" s="4" t="s">
        <v>219</v>
      </c>
      <c r="J23" s="4" t="s">
        <v>220</v>
      </c>
      <c r="K23" s="20" t="n">
        <v>46076</v>
      </c>
      <c r="L23" s="5" t="n">
        <v>480</v>
      </c>
      <c r="M23" s="6" t="n">
        <v>1680</v>
      </c>
      <c r="N23" s="23" t="s">
        <v>216</v>
      </c>
      <c r="O23" s="4" t="s">
        <v>221</v>
      </c>
    </row>
    <row r="24" customFormat="false" ht="15" hidden="false" customHeight="false" outlineLevel="0" collapsed="false">
      <c r="A24" s="9" t="s">
        <v>223</v>
      </c>
      <c r="B24" s="9" t="s">
        <v>46</v>
      </c>
      <c r="C24" s="9" t="s">
        <v>109</v>
      </c>
      <c r="D24" s="10" t="n">
        <v>50</v>
      </c>
      <c r="E24" s="11" t="n">
        <v>18.5</v>
      </c>
      <c r="F24" s="22" t="n">
        <v>46061</v>
      </c>
      <c r="G24" s="22" t="n">
        <v>46082</v>
      </c>
      <c r="H24" s="9" t="s">
        <v>200</v>
      </c>
      <c r="I24" s="9" t="s">
        <v>201</v>
      </c>
      <c r="J24" s="9" t="s">
        <v>202</v>
      </c>
      <c r="K24" s="22" t="n">
        <v>46084</v>
      </c>
      <c r="L24" s="10" t="n">
        <v>40</v>
      </c>
      <c r="M24" s="11" t="n">
        <v>925</v>
      </c>
      <c r="N24" s="23" t="s">
        <v>216</v>
      </c>
      <c r="O24" s="9"/>
    </row>
    <row r="25" customFormat="false" ht="15" hidden="false" customHeight="false" outlineLevel="0" collapsed="false">
      <c r="A25" s="4" t="s">
        <v>223</v>
      </c>
      <c r="B25" s="4" t="s">
        <v>46</v>
      </c>
      <c r="C25" s="4" t="s">
        <v>109</v>
      </c>
      <c r="D25" s="5" t="n">
        <v>50</v>
      </c>
      <c r="E25" s="6" t="n">
        <v>18.5</v>
      </c>
      <c r="F25" s="20" t="n">
        <v>46061</v>
      </c>
      <c r="G25" s="20" t="n">
        <v>46082</v>
      </c>
      <c r="H25" s="4" t="s">
        <v>204</v>
      </c>
      <c r="I25" s="4" t="s">
        <v>217</v>
      </c>
      <c r="J25" s="4" t="s">
        <v>218</v>
      </c>
      <c r="K25" s="20" t="n">
        <v>46084</v>
      </c>
      <c r="L25" s="5" t="n">
        <v>40</v>
      </c>
      <c r="M25" s="6" t="n">
        <v>925</v>
      </c>
      <c r="N25" s="23" t="s">
        <v>216</v>
      </c>
      <c r="O25" s="4"/>
    </row>
    <row r="26" customFormat="false" ht="15" hidden="false" customHeight="false" outlineLevel="0" collapsed="false">
      <c r="A26" s="9" t="s">
        <v>223</v>
      </c>
      <c r="B26" s="9" t="s">
        <v>46</v>
      </c>
      <c r="C26" s="9" t="s">
        <v>109</v>
      </c>
      <c r="D26" s="10" t="n">
        <v>50</v>
      </c>
      <c r="E26" s="11" t="n">
        <v>18.5</v>
      </c>
      <c r="F26" s="22" t="n">
        <v>46061</v>
      </c>
      <c r="G26" s="22" t="n">
        <v>46082</v>
      </c>
      <c r="H26" s="9" t="s">
        <v>207</v>
      </c>
      <c r="I26" s="9" t="s">
        <v>219</v>
      </c>
      <c r="J26" s="9" t="s">
        <v>220</v>
      </c>
      <c r="K26" s="22" t="n">
        <v>46086</v>
      </c>
      <c r="L26" s="10" t="n">
        <v>40</v>
      </c>
      <c r="M26" s="11" t="n">
        <v>925</v>
      </c>
      <c r="N26" s="23" t="s">
        <v>216</v>
      </c>
      <c r="O26" s="9" t="s">
        <v>221</v>
      </c>
    </row>
    <row r="27" customFormat="false" ht="15" hidden="false" customHeight="false" outlineLevel="0" collapsed="false">
      <c r="A27" s="4" t="s">
        <v>224</v>
      </c>
      <c r="B27" s="4" t="s">
        <v>40</v>
      </c>
      <c r="C27" s="4" t="s">
        <v>89</v>
      </c>
      <c r="D27" s="5" t="n">
        <v>20</v>
      </c>
      <c r="E27" s="6" t="n">
        <v>155</v>
      </c>
      <c r="F27" s="20" t="n">
        <v>46083</v>
      </c>
      <c r="G27" s="20" t="n">
        <v>46111</v>
      </c>
      <c r="H27" s="4" t="s">
        <v>200</v>
      </c>
      <c r="I27" s="4" t="s">
        <v>201</v>
      </c>
      <c r="J27" s="4" t="s">
        <v>202</v>
      </c>
      <c r="K27" s="20" t="n">
        <v>46111</v>
      </c>
      <c r="L27" s="5" t="n">
        <v>20</v>
      </c>
      <c r="M27" s="6" t="n">
        <v>3100</v>
      </c>
      <c r="N27" s="24" t="s">
        <v>225</v>
      </c>
      <c r="O27" s="4"/>
    </row>
    <row r="28" customFormat="false" ht="15" hidden="false" customHeight="false" outlineLevel="0" collapsed="false">
      <c r="A28" s="9" t="s">
        <v>224</v>
      </c>
      <c r="B28" s="9" t="s">
        <v>40</v>
      </c>
      <c r="C28" s="9" t="s">
        <v>89</v>
      </c>
      <c r="D28" s="10" t="n">
        <v>20</v>
      </c>
      <c r="E28" s="11" t="n">
        <v>155</v>
      </c>
      <c r="F28" s="22" t="n">
        <v>46083</v>
      </c>
      <c r="G28" s="22" t="n">
        <v>46111</v>
      </c>
      <c r="H28" s="9" t="s">
        <v>204</v>
      </c>
      <c r="I28" s="9" t="s">
        <v>205</v>
      </c>
      <c r="J28" s="9" t="s">
        <v>206</v>
      </c>
      <c r="K28" s="22" t="n">
        <v>46111</v>
      </c>
      <c r="L28" s="10" t="n">
        <v>20</v>
      </c>
      <c r="M28" s="11" t="n">
        <v>3100</v>
      </c>
      <c r="N28" s="24" t="s">
        <v>225</v>
      </c>
      <c r="O28" s="9"/>
    </row>
    <row r="29" customFormat="false" ht="15" hidden="false" customHeight="false" outlineLevel="0" collapsed="false">
      <c r="A29" s="4" t="s">
        <v>224</v>
      </c>
      <c r="B29" s="4" t="s">
        <v>40</v>
      </c>
      <c r="C29" s="4" t="s">
        <v>89</v>
      </c>
      <c r="D29" s="5" t="n">
        <v>20</v>
      </c>
      <c r="E29" s="6" t="n">
        <v>155</v>
      </c>
      <c r="F29" s="20" t="n">
        <v>46083</v>
      </c>
      <c r="G29" s="20" t="n">
        <v>46111</v>
      </c>
      <c r="H29" s="4" t="s">
        <v>207</v>
      </c>
      <c r="I29" s="4" t="s">
        <v>226</v>
      </c>
      <c r="J29" s="4" t="s">
        <v>220</v>
      </c>
      <c r="K29" s="20" t="n">
        <v>46114</v>
      </c>
      <c r="L29" s="5" t="n">
        <v>20</v>
      </c>
      <c r="M29" s="6" t="n">
        <v>3348</v>
      </c>
      <c r="N29" s="24" t="s">
        <v>225</v>
      </c>
      <c r="O29" s="4" t="s">
        <v>227</v>
      </c>
    </row>
    <row r="30" customFormat="false" ht="15" hidden="false" customHeight="false" outlineLevel="0" collapsed="false">
      <c r="A30" s="9" t="s">
        <v>228</v>
      </c>
      <c r="B30" s="9" t="s">
        <v>50</v>
      </c>
      <c r="C30" s="9" t="s">
        <v>109</v>
      </c>
      <c r="D30" s="10" t="n">
        <v>10</v>
      </c>
      <c r="E30" s="11" t="n">
        <v>275</v>
      </c>
      <c r="F30" s="22" t="n">
        <v>46086</v>
      </c>
      <c r="G30" s="22" t="n">
        <v>46121</v>
      </c>
      <c r="H30" s="9" t="s">
        <v>200</v>
      </c>
      <c r="I30" s="9" t="s">
        <v>201</v>
      </c>
      <c r="J30" s="9" t="s">
        <v>202</v>
      </c>
      <c r="K30" s="22" t="n">
        <v>46122</v>
      </c>
      <c r="L30" s="10" t="n">
        <v>10</v>
      </c>
      <c r="M30" s="11" t="n">
        <v>2750</v>
      </c>
      <c r="N30" s="24" t="s">
        <v>225</v>
      </c>
      <c r="O30" s="9"/>
    </row>
    <row r="31" customFormat="false" ht="15" hidden="false" customHeight="false" outlineLevel="0" collapsed="false">
      <c r="A31" s="4" t="s">
        <v>228</v>
      </c>
      <c r="B31" s="4" t="s">
        <v>50</v>
      </c>
      <c r="C31" s="4" t="s">
        <v>109</v>
      </c>
      <c r="D31" s="5" t="n">
        <v>10</v>
      </c>
      <c r="E31" s="6" t="n">
        <v>275</v>
      </c>
      <c r="F31" s="20" t="n">
        <v>46086</v>
      </c>
      <c r="G31" s="20" t="n">
        <v>46121</v>
      </c>
      <c r="H31" s="4" t="s">
        <v>204</v>
      </c>
      <c r="I31" s="4" t="s">
        <v>205</v>
      </c>
      <c r="J31" s="4" t="s">
        <v>206</v>
      </c>
      <c r="K31" s="20" t="n">
        <v>46122</v>
      </c>
      <c r="L31" s="5" t="n">
        <v>10</v>
      </c>
      <c r="M31" s="6" t="n">
        <v>2750</v>
      </c>
      <c r="N31" s="24" t="s">
        <v>225</v>
      </c>
      <c r="O31" s="4"/>
    </row>
    <row r="32" customFormat="false" ht="15" hidden="false" customHeight="false" outlineLevel="0" collapsed="false">
      <c r="A32" s="9" t="s">
        <v>228</v>
      </c>
      <c r="B32" s="9" t="s">
        <v>50</v>
      </c>
      <c r="C32" s="9" t="s">
        <v>109</v>
      </c>
      <c r="D32" s="10" t="n">
        <v>10</v>
      </c>
      <c r="E32" s="11" t="n">
        <v>275</v>
      </c>
      <c r="F32" s="22" t="n">
        <v>46086</v>
      </c>
      <c r="G32" s="22" t="n">
        <v>46121</v>
      </c>
      <c r="H32" s="9" t="s">
        <v>207</v>
      </c>
      <c r="I32" s="9" t="s">
        <v>226</v>
      </c>
      <c r="J32" s="9" t="s">
        <v>220</v>
      </c>
      <c r="K32" s="22" t="n">
        <v>46124</v>
      </c>
      <c r="L32" s="10" t="n">
        <v>10</v>
      </c>
      <c r="M32" s="11" t="n">
        <v>2970</v>
      </c>
      <c r="N32" s="24" t="s">
        <v>225</v>
      </c>
      <c r="O32" s="9" t="s">
        <v>227</v>
      </c>
    </row>
    <row r="33" customFormat="false" ht="15" hidden="false" customHeight="false" outlineLevel="0" collapsed="false">
      <c r="A33" s="4" t="s">
        <v>229</v>
      </c>
      <c r="B33" s="4" t="s">
        <v>64</v>
      </c>
      <c r="C33" s="4" t="s">
        <v>127</v>
      </c>
      <c r="D33" s="5" t="n">
        <v>5</v>
      </c>
      <c r="E33" s="6" t="n">
        <v>1580</v>
      </c>
      <c r="F33" s="20" t="n">
        <v>46089</v>
      </c>
      <c r="G33" s="20" t="n">
        <v>46131</v>
      </c>
      <c r="H33" s="4" t="s">
        <v>200</v>
      </c>
      <c r="I33" s="4" t="s">
        <v>201</v>
      </c>
      <c r="J33" s="4" t="s">
        <v>202</v>
      </c>
      <c r="K33" s="20" t="n">
        <v>46133</v>
      </c>
      <c r="L33" s="5" t="n">
        <v>5</v>
      </c>
      <c r="M33" s="6" t="n">
        <v>7900</v>
      </c>
      <c r="N33" s="24" t="s">
        <v>225</v>
      </c>
      <c r="O33" s="4"/>
    </row>
    <row r="34" customFormat="false" ht="15" hidden="false" customHeight="false" outlineLevel="0" collapsed="false">
      <c r="A34" s="9" t="s">
        <v>229</v>
      </c>
      <c r="B34" s="9" t="s">
        <v>64</v>
      </c>
      <c r="C34" s="9" t="s">
        <v>127</v>
      </c>
      <c r="D34" s="10" t="n">
        <v>5</v>
      </c>
      <c r="E34" s="11" t="n">
        <v>1580</v>
      </c>
      <c r="F34" s="22" t="n">
        <v>46089</v>
      </c>
      <c r="G34" s="22" t="n">
        <v>46131</v>
      </c>
      <c r="H34" s="9" t="s">
        <v>204</v>
      </c>
      <c r="I34" s="9" t="s">
        <v>205</v>
      </c>
      <c r="J34" s="9" t="s">
        <v>206</v>
      </c>
      <c r="K34" s="22" t="n">
        <v>46133</v>
      </c>
      <c r="L34" s="10" t="n">
        <v>5</v>
      </c>
      <c r="M34" s="11" t="n">
        <v>7900</v>
      </c>
      <c r="N34" s="24" t="s">
        <v>225</v>
      </c>
      <c r="O34" s="9"/>
    </row>
    <row r="35" customFormat="false" ht="15" hidden="false" customHeight="false" outlineLevel="0" collapsed="false">
      <c r="A35" s="4" t="s">
        <v>229</v>
      </c>
      <c r="B35" s="4" t="s">
        <v>64</v>
      </c>
      <c r="C35" s="4" t="s">
        <v>127</v>
      </c>
      <c r="D35" s="5" t="n">
        <v>5</v>
      </c>
      <c r="E35" s="6" t="n">
        <v>1580</v>
      </c>
      <c r="F35" s="20" t="n">
        <v>46089</v>
      </c>
      <c r="G35" s="20" t="n">
        <v>46131</v>
      </c>
      <c r="H35" s="4" t="s">
        <v>207</v>
      </c>
      <c r="I35" s="4" t="s">
        <v>226</v>
      </c>
      <c r="J35" s="4" t="s">
        <v>220</v>
      </c>
      <c r="K35" s="20" t="n">
        <v>46135</v>
      </c>
      <c r="L35" s="5" t="n">
        <v>5</v>
      </c>
      <c r="M35" s="6" t="n">
        <v>8453</v>
      </c>
      <c r="N35" s="24" t="s">
        <v>225</v>
      </c>
      <c r="O35" s="4" t="s">
        <v>227</v>
      </c>
    </row>
  </sheetData>
  <mergeCells count="1">
    <mergeCell ref="A1:O1"/>
  </mergeCells>
  <conditionalFormatting sqref="O3:O40">
    <cfRule type="cellIs" priority="2" operator="equal" aboveAverage="0" equalAverage="0" bottom="0" percent="0" rank="0" text="" dxfId="0">
      <formula>"MATCHED"</formula>
    </cfRule>
    <cfRule type="cellIs" priority="3" operator="equal" aboveAverage="0" equalAverage="0" bottom="0" percent="0" rank="0" text="" dxfId="2">
      <formula>"QTY VARIANCE"</formula>
    </cfRule>
    <cfRule type="cellIs" priority="4" operator="equal" aboveAverage="0" equalAverage="0" bottom="0" percent="0" rank="0" text="" dxfId="1">
      <formula>"PRICE VARIANCE"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8" min="7" style="0" width="18"/>
    <col collapsed="false" customWidth="true" hidden="false" outlineLevel="0" max="9" min="9" style="0" width="14"/>
    <col collapsed="false" customWidth="true" hidden="false" outlineLevel="0" max="11" min="10" style="0" width="20"/>
    <col collapsed="false" customWidth="true" hidden="false" outlineLevel="0" max="12" min="12" style="0" width="28"/>
  </cols>
  <sheetData>
    <row r="1" customFormat="false" ht="19.5" hidden="false" customHeight="true" outlineLevel="0" collapsed="false">
      <c r="A1" s="1" t="s">
        <v>230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186</v>
      </c>
      <c r="B2" s="2" t="s">
        <v>1</v>
      </c>
      <c r="C2" s="2" t="s">
        <v>77</v>
      </c>
      <c r="D2" s="2" t="s">
        <v>231</v>
      </c>
      <c r="E2" s="2" t="s">
        <v>232</v>
      </c>
      <c r="F2" s="2" t="s">
        <v>233</v>
      </c>
      <c r="G2" s="2" t="s">
        <v>234</v>
      </c>
      <c r="H2" s="2" t="s">
        <v>235</v>
      </c>
      <c r="I2" s="2" t="s">
        <v>236</v>
      </c>
      <c r="J2" s="2" t="s">
        <v>237</v>
      </c>
      <c r="K2" s="2" t="s">
        <v>238</v>
      </c>
      <c r="L2" s="2" t="s">
        <v>239</v>
      </c>
    </row>
    <row r="3" customFormat="false" ht="15" hidden="false" customHeight="false" outlineLevel="0" collapsed="false">
      <c r="A3" s="3" t="s">
        <v>199</v>
      </c>
      <c r="B3" s="4" t="s">
        <v>15</v>
      </c>
      <c r="C3" s="4" t="s">
        <v>89</v>
      </c>
      <c r="D3" s="4" t="n">
        <v>100</v>
      </c>
      <c r="E3" s="6" t="n">
        <v>38.5</v>
      </c>
      <c r="F3" s="4" t="n">
        <v>100</v>
      </c>
      <c r="G3" s="6" t="n">
        <v>3850</v>
      </c>
      <c r="H3" s="6" t="n">
        <v>3850</v>
      </c>
      <c r="I3" s="4" t="n">
        <v>0</v>
      </c>
      <c r="J3" s="6" t="n">
        <v>0</v>
      </c>
      <c r="K3" s="13" t="n">
        <v>0</v>
      </c>
      <c r="L3" s="4" t="s">
        <v>209</v>
      </c>
    </row>
    <row r="4" customFormat="false" ht="15" hidden="false" customHeight="false" outlineLevel="0" collapsed="false">
      <c r="A4" s="8" t="s">
        <v>211</v>
      </c>
      <c r="B4" s="9" t="s">
        <v>24</v>
      </c>
      <c r="C4" s="9" t="s">
        <v>89</v>
      </c>
      <c r="D4" s="9" t="n">
        <v>300</v>
      </c>
      <c r="E4" s="11" t="n">
        <v>10.2</v>
      </c>
      <c r="F4" s="9" t="n">
        <v>300</v>
      </c>
      <c r="G4" s="11" t="n">
        <v>3060</v>
      </c>
      <c r="H4" s="11" t="n">
        <v>3060</v>
      </c>
      <c r="I4" s="9" t="n">
        <v>0</v>
      </c>
      <c r="J4" s="11" t="n">
        <v>0</v>
      </c>
      <c r="K4" s="14" t="n">
        <v>0</v>
      </c>
      <c r="L4" s="9" t="s">
        <v>209</v>
      </c>
    </row>
    <row r="5" customFormat="false" ht="15" hidden="false" customHeight="false" outlineLevel="0" collapsed="false">
      <c r="A5" s="3" t="s">
        <v>212</v>
      </c>
      <c r="B5" s="4" t="s">
        <v>33</v>
      </c>
      <c r="C5" s="4" t="s">
        <v>118</v>
      </c>
      <c r="D5" s="4" t="n">
        <v>120</v>
      </c>
      <c r="E5" s="6" t="n">
        <v>15.8</v>
      </c>
      <c r="F5" s="4" t="n">
        <v>120</v>
      </c>
      <c r="G5" s="6" t="n">
        <v>1896</v>
      </c>
      <c r="H5" s="6" t="n">
        <v>1896</v>
      </c>
      <c r="I5" s="4" t="n">
        <v>0</v>
      </c>
      <c r="J5" s="6" t="n">
        <v>0</v>
      </c>
      <c r="K5" s="13" t="n">
        <v>0</v>
      </c>
      <c r="L5" s="4" t="s">
        <v>209</v>
      </c>
    </row>
    <row r="6" customFormat="false" ht="15" hidden="false" customHeight="false" outlineLevel="0" collapsed="false">
      <c r="A6" s="8" t="s">
        <v>213</v>
      </c>
      <c r="B6" s="9" t="s">
        <v>37</v>
      </c>
      <c r="C6" s="9" t="s">
        <v>118</v>
      </c>
      <c r="D6" s="9" t="n">
        <v>300</v>
      </c>
      <c r="E6" s="11" t="n">
        <v>7.2</v>
      </c>
      <c r="F6" s="9" t="n">
        <v>300</v>
      </c>
      <c r="G6" s="11" t="n">
        <v>2160</v>
      </c>
      <c r="H6" s="11" t="n">
        <v>2160</v>
      </c>
      <c r="I6" s="9" t="n">
        <v>0</v>
      </c>
      <c r="J6" s="11" t="n">
        <v>0</v>
      </c>
      <c r="K6" s="14" t="n">
        <v>0</v>
      </c>
      <c r="L6" s="9" t="s">
        <v>209</v>
      </c>
    </row>
    <row r="7" customFormat="false" ht="15" hidden="false" customHeight="false" outlineLevel="0" collapsed="false">
      <c r="A7" s="3" t="s">
        <v>214</v>
      </c>
      <c r="B7" s="4" t="s">
        <v>48</v>
      </c>
      <c r="C7" s="4" t="s">
        <v>118</v>
      </c>
      <c r="D7" s="4" t="n">
        <v>200</v>
      </c>
      <c r="E7" s="6" t="n">
        <v>4.8</v>
      </c>
      <c r="F7" s="4" t="n">
        <v>200</v>
      </c>
      <c r="G7" s="6" t="n">
        <v>960</v>
      </c>
      <c r="H7" s="6" t="n">
        <v>960</v>
      </c>
      <c r="I7" s="4" t="n">
        <v>0</v>
      </c>
      <c r="J7" s="6" t="n">
        <v>0</v>
      </c>
      <c r="K7" s="13" t="n">
        <v>0</v>
      </c>
      <c r="L7" s="4" t="s">
        <v>209</v>
      </c>
    </row>
    <row r="8" customFormat="false" ht="15" hidden="false" customHeight="false" outlineLevel="0" collapsed="false">
      <c r="A8" s="8" t="s">
        <v>215</v>
      </c>
      <c r="B8" s="9" t="s">
        <v>28</v>
      </c>
      <c r="C8" s="9" t="s">
        <v>89</v>
      </c>
      <c r="D8" s="9" t="n">
        <v>80</v>
      </c>
      <c r="E8" s="11" t="n">
        <v>23.5</v>
      </c>
      <c r="F8" s="9" t="n">
        <v>60</v>
      </c>
      <c r="G8" s="11" t="n">
        <v>1880</v>
      </c>
      <c r="H8" s="11" t="n">
        <v>1880</v>
      </c>
      <c r="I8" s="9" t="n">
        <v>-20</v>
      </c>
      <c r="J8" s="11" t="n">
        <v>0</v>
      </c>
      <c r="K8" s="14" t="n">
        <v>0</v>
      </c>
      <c r="L8" s="9" t="s">
        <v>240</v>
      </c>
    </row>
    <row r="9" customFormat="false" ht="15" hidden="false" customHeight="false" outlineLevel="0" collapsed="false">
      <c r="A9" s="3" t="s">
        <v>222</v>
      </c>
      <c r="B9" s="4" t="s">
        <v>44</v>
      </c>
      <c r="C9" s="4" t="s">
        <v>89</v>
      </c>
      <c r="D9" s="4" t="n">
        <v>600</v>
      </c>
      <c r="E9" s="6" t="n">
        <v>2.8</v>
      </c>
      <c r="F9" s="4" t="n">
        <v>480</v>
      </c>
      <c r="G9" s="6" t="n">
        <v>1680</v>
      </c>
      <c r="H9" s="6" t="n">
        <v>1680</v>
      </c>
      <c r="I9" s="4" t="n">
        <v>-120</v>
      </c>
      <c r="J9" s="6" t="n">
        <v>0</v>
      </c>
      <c r="K9" s="13" t="n">
        <v>0</v>
      </c>
      <c r="L9" s="4" t="s">
        <v>240</v>
      </c>
    </row>
    <row r="10" customFormat="false" ht="15" hidden="false" customHeight="false" outlineLevel="0" collapsed="false">
      <c r="A10" s="8" t="s">
        <v>223</v>
      </c>
      <c r="B10" s="9" t="s">
        <v>46</v>
      </c>
      <c r="C10" s="9" t="s">
        <v>109</v>
      </c>
      <c r="D10" s="9" t="n">
        <v>50</v>
      </c>
      <c r="E10" s="11" t="n">
        <v>18.5</v>
      </c>
      <c r="F10" s="9" t="n">
        <v>40</v>
      </c>
      <c r="G10" s="11" t="n">
        <v>925</v>
      </c>
      <c r="H10" s="11" t="n">
        <v>925</v>
      </c>
      <c r="I10" s="9" t="n">
        <v>-10</v>
      </c>
      <c r="J10" s="11" t="n">
        <v>0</v>
      </c>
      <c r="K10" s="14" t="n">
        <v>0</v>
      </c>
      <c r="L10" s="9" t="s">
        <v>240</v>
      </c>
    </row>
    <row r="11" customFormat="false" ht="15" hidden="false" customHeight="false" outlineLevel="0" collapsed="false">
      <c r="A11" s="3" t="s">
        <v>224</v>
      </c>
      <c r="B11" s="4" t="s">
        <v>40</v>
      </c>
      <c r="C11" s="4" t="s">
        <v>89</v>
      </c>
      <c r="D11" s="4" t="n">
        <v>20</v>
      </c>
      <c r="E11" s="6" t="n">
        <v>155</v>
      </c>
      <c r="F11" s="4" t="n">
        <v>20</v>
      </c>
      <c r="G11" s="6" t="n">
        <v>3348</v>
      </c>
      <c r="H11" s="6" t="n">
        <v>3100</v>
      </c>
      <c r="I11" s="4" t="n">
        <v>0</v>
      </c>
      <c r="J11" s="6" t="n">
        <v>248</v>
      </c>
      <c r="K11" s="13" t="n">
        <v>0.08</v>
      </c>
      <c r="L11" s="4" t="s">
        <v>241</v>
      </c>
    </row>
    <row r="12" customFormat="false" ht="15" hidden="false" customHeight="false" outlineLevel="0" collapsed="false">
      <c r="A12" s="8" t="s">
        <v>228</v>
      </c>
      <c r="B12" s="9" t="s">
        <v>50</v>
      </c>
      <c r="C12" s="9" t="s">
        <v>109</v>
      </c>
      <c r="D12" s="9" t="n">
        <v>10</v>
      </c>
      <c r="E12" s="11" t="n">
        <v>275</v>
      </c>
      <c r="F12" s="9" t="n">
        <v>10</v>
      </c>
      <c r="G12" s="11" t="n">
        <v>2970</v>
      </c>
      <c r="H12" s="11" t="n">
        <v>2750</v>
      </c>
      <c r="I12" s="9" t="n">
        <v>0</v>
      </c>
      <c r="J12" s="11" t="n">
        <v>220</v>
      </c>
      <c r="K12" s="14" t="n">
        <v>0.08</v>
      </c>
      <c r="L12" s="9" t="s">
        <v>241</v>
      </c>
    </row>
    <row r="13" customFormat="false" ht="15" hidden="false" customHeight="false" outlineLevel="0" collapsed="false">
      <c r="A13" s="3" t="s">
        <v>229</v>
      </c>
      <c r="B13" s="4" t="s">
        <v>64</v>
      </c>
      <c r="C13" s="4" t="s">
        <v>127</v>
      </c>
      <c r="D13" s="4" t="n">
        <v>5</v>
      </c>
      <c r="E13" s="6" t="n">
        <v>1580</v>
      </c>
      <c r="F13" s="4" t="n">
        <v>5</v>
      </c>
      <c r="G13" s="6" t="n">
        <v>8453</v>
      </c>
      <c r="H13" s="6" t="n">
        <v>7900</v>
      </c>
      <c r="I13" s="4" t="n">
        <v>0</v>
      </c>
      <c r="J13" s="6" t="n">
        <v>553</v>
      </c>
      <c r="K13" s="13" t="n">
        <v>0.07</v>
      </c>
      <c r="L13" s="4" t="s">
        <v>241</v>
      </c>
    </row>
    <row r="17" customFormat="false" ht="19.5" hidden="false" customHeight="true" outlineLevel="0" collapsed="false">
      <c r="A17" s="15" t="s">
        <v>242</v>
      </c>
      <c r="B17" s="15"/>
      <c r="C17" s="15"/>
      <c r="D17" s="15"/>
    </row>
    <row r="18" customFormat="false" ht="15" hidden="false" customHeight="false" outlineLevel="0" collapsed="false">
      <c r="A18" s="18" t="s">
        <v>243</v>
      </c>
      <c r="B18" s="25" t="n">
        <v>11</v>
      </c>
    </row>
    <row r="19" customFormat="false" ht="15" hidden="false" customHeight="false" outlineLevel="0" collapsed="false">
      <c r="A19" s="16" t="s">
        <v>244</v>
      </c>
      <c r="B19" s="26" t="n">
        <f aca="false">COUNTIF(L3:L13,"CLEARED")</f>
        <v>5</v>
      </c>
    </row>
    <row r="20" customFormat="false" ht="15" hidden="false" customHeight="false" outlineLevel="0" collapsed="false">
      <c r="A20" s="18" t="s">
        <v>245</v>
      </c>
      <c r="B20" s="27" t="n">
        <f aca="false">COUNTIF(L3:L13,"BLOCKED*")</f>
        <v>6</v>
      </c>
    </row>
    <row r="21" customFormat="false" ht="15" hidden="false" customHeight="false" outlineLevel="0" collapsed="false">
      <c r="A21" s="16" t="s">
        <v>246</v>
      </c>
      <c r="B21" s="28" t="n">
        <f aca="false">SUMIF(L3:L13,"BLOCKED*",G3:G13)</f>
        <v>19256</v>
      </c>
    </row>
  </sheetData>
  <mergeCells count="2">
    <mergeCell ref="A1:L1"/>
    <mergeCell ref="A17:D17"/>
  </mergeCells>
  <conditionalFormatting sqref="L3:L14">
    <cfRule type="cellIs" priority="2" operator="equal" aboveAverage="0" equalAverage="0" bottom="0" percent="0" rank="0" text="" dxfId="0">
      <formula>"CLEARED"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30"/>
    <col collapsed="false" customWidth="true" hidden="false" outlineLevel="0" max="5" min="4" style="0" width="16"/>
    <col collapsed="false" customWidth="true" hidden="false" outlineLevel="0" max="7" min="6" style="0" width="22"/>
    <col collapsed="false" customWidth="true" hidden="false" outlineLevel="0" max="9" min="8" style="0" width="20"/>
    <col collapsed="false" customWidth="true" hidden="false" outlineLevel="0" max="10" min="10" style="0" width="14"/>
    <col collapsed="false" customWidth="true" hidden="false" outlineLevel="0" max="11" min="11" style="0" width="18"/>
    <col collapsed="false" customWidth="true" hidden="false" outlineLevel="0" max="12" min="12" style="0" width="30"/>
  </cols>
  <sheetData>
    <row r="1" customFormat="false" ht="19.5" hidden="false" customHeight="true" outlineLevel="0" collapsed="false">
      <c r="A1" s="1" t="s">
        <v>247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248</v>
      </c>
      <c r="B2" s="2" t="s">
        <v>77</v>
      </c>
      <c r="C2" s="2" t="s">
        <v>78</v>
      </c>
      <c r="D2" s="2" t="s">
        <v>249</v>
      </c>
      <c r="E2" s="2" t="s">
        <v>250</v>
      </c>
      <c r="F2" s="2" t="s">
        <v>251</v>
      </c>
      <c r="G2" s="2" t="s">
        <v>252</v>
      </c>
      <c r="H2" s="2" t="s">
        <v>237</v>
      </c>
      <c r="I2" s="2" t="s">
        <v>238</v>
      </c>
      <c r="J2" s="2" t="s">
        <v>253</v>
      </c>
      <c r="K2" s="2" t="s">
        <v>254</v>
      </c>
      <c r="L2" s="2" t="s">
        <v>255</v>
      </c>
    </row>
    <row r="3" customFormat="false" ht="15" hidden="false" customHeight="false" outlineLevel="0" collapsed="false">
      <c r="A3" s="3" t="s">
        <v>256</v>
      </c>
      <c r="B3" s="4" t="s">
        <v>89</v>
      </c>
      <c r="C3" s="4" t="s">
        <v>90</v>
      </c>
      <c r="D3" s="20" t="n">
        <v>45658</v>
      </c>
      <c r="E3" s="20" t="n">
        <v>46387</v>
      </c>
      <c r="F3" s="6" t="n">
        <v>38.5</v>
      </c>
      <c r="G3" s="6" t="n">
        <v>40.2</v>
      </c>
      <c r="H3" s="6" t="n">
        <v>1.7</v>
      </c>
      <c r="I3" s="13" t="n">
        <v>0.0442</v>
      </c>
      <c r="J3" s="5" t="n">
        <v>186</v>
      </c>
      <c r="K3" s="4" t="s">
        <v>257</v>
      </c>
      <c r="L3" s="4" t="s">
        <v>258</v>
      </c>
    </row>
    <row r="4" customFormat="false" ht="15" hidden="false" customHeight="false" outlineLevel="0" collapsed="false">
      <c r="A4" s="8" t="s">
        <v>259</v>
      </c>
      <c r="B4" s="9" t="s">
        <v>101</v>
      </c>
      <c r="C4" s="9" t="s">
        <v>102</v>
      </c>
      <c r="D4" s="22" t="n">
        <v>45717</v>
      </c>
      <c r="E4" s="22" t="n">
        <v>46203</v>
      </c>
      <c r="F4" s="11" t="n">
        <v>36</v>
      </c>
      <c r="G4" s="11" t="n">
        <v>36</v>
      </c>
      <c r="H4" s="11" t="n">
        <v>0</v>
      </c>
      <c r="I4" s="14" t="n">
        <v>0</v>
      </c>
      <c r="J4" s="10" t="n">
        <v>2</v>
      </c>
      <c r="K4" s="9" t="s">
        <v>260</v>
      </c>
      <c r="L4" s="9" t="s">
        <v>261</v>
      </c>
    </row>
    <row r="5" customFormat="false" ht="15" hidden="false" customHeight="false" outlineLevel="0" collapsed="false">
      <c r="A5" s="3" t="s">
        <v>262</v>
      </c>
      <c r="B5" s="4" t="s">
        <v>109</v>
      </c>
      <c r="C5" s="4" t="s">
        <v>110</v>
      </c>
      <c r="D5" s="20" t="n">
        <v>45658</v>
      </c>
      <c r="E5" s="20" t="n">
        <v>46387</v>
      </c>
      <c r="F5" s="6" t="n">
        <v>275</v>
      </c>
      <c r="G5" s="6" t="n">
        <v>268</v>
      </c>
      <c r="H5" s="6" t="n">
        <v>-7</v>
      </c>
      <c r="I5" s="13" t="n">
        <v>-0.0255</v>
      </c>
      <c r="J5" s="5" t="n">
        <v>186</v>
      </c>
      <c r="K5" s="4" t="s">
        <v>257</v>
      </c>
      <c r="L5" s="4" t="s">
        <v>258</v>
      </c>
    </row>
    <row r="6" customFormat="false" ht="15" hidden="false" customHeight="false" outlineLevel="0" collapsed="false">
      <c r="A6" s="8" t="s">
        <v>263</v>
      </c>
      <c r="B6" s="9" t="s">
        <v>118</v>
      </c>
      <c r="C6" s="9" t="s">
        <v>264</v>
      </c>
      <c r="D6" s="22" t="n">
        <v>45809</v>
      </c>
      <c r="E6" s="22" t="n">
        <v>46295</v>
      </c>
      <c r="F6" s="11" t="n">
        <v>15.8</v>
      </c>
      <c r="G6" s="11" t="n">
        <v>16.5</v>
      </c>
      <c r="H6" s="11" t="n">
        <v>0.7</v>
      </c>
      <c r="I6" s="14" t="n">
        <v>0.0443</v>
      </c>
      <c r="J6" s="10" t="n">
        <v>94</v>
      </c>
      <c r="K6" s="9" t="s">
        <v>257</v>
      </c>
      <c r="L6" s="9" t="s">
        <v>258</v>
      </c>
    </row>
    <row r="7" customFormat="false" ht="15" hidden="false" customHeight="false" outlineLevel="0" collapsed="false">
      <c r="A7" s="3" t="s">
        <v>265</v>
      </c>
      <c r="B7" s="4" t="s">
        <v>127</v>
      </c>
      <c r="C7" s="4" t="s">
        <v>128</v>
      </c>
      <c r="D7" s="20" t="n">
        <v>45658</v>
      </c>
      <c r="E7" s="20" t="n">
        <v>46387</v>
      </c>
      <c r="F7" s="6" t="n">
        <v>1580</v>
      </c>
      <c r="G7" s="6" t="n">
        <v>1620</v>
      </c>
      <c r="H7" s="6" t="n">
        <v>40</v>
      </c>
      <c r="I7" s="13" t="n">
        <v>0.0253</v>
      </c>
      <c r="J7" s="5" t="n">
        <v>186</v>
      </c>
      <c r="K7" s="4" t="s">
        <v>257</v>
      </c>
      <c r="L7" s="4" t="s">
        <v>258</v>
      </c>
    </row>
  </sheetData>
  <mergeCells count="1">
    <mergeCell ref="A1:L1"/>
  </mergeCells>
  <conditionalFormatting sqref="K3:K8">
    <cfRule type="cellIs" priority="2" operator="equal" aboveAverage="0" equalAverage="0" bottom="0" percent="0" rank="0" text="" dxfId="0">
      <formula>"ACTIVE"</formula>
    </cfRule>
    <cfRule type="cellIs" priority="3" operator="equal" aboveAverage="0" equalAverage="0" bottom="0" percent="0" rank="0" text="" dxfId="1">
      <formula>"EXPIRING SOON"</formula>
    </cfRule>
    <cfRule type="cellIs" priority="4" operator="equal" aboveAverage="0" equalAverage="0" bottom="0" percent="0" rank="0" text="" dxfId="2">
      <formula>"EXPIRED"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8" min="8" style="0" width="18"/>
    <col collapsed="false" customWidth="true" hidden="false" outlineLevel="0" max="9" min="9" style="0" width="30"/>
    <col collapsed="false" customWidth="true" hidden="false" outlineLevel="0" max="10" min="10" style="0" width="36"/>
  </cols>
  <sheetData>
    <row r="1" customFormat="false" ht="19.5" hidden="false" customHeight="true" outlineLevel="0" collapsed="false">
      <c r="A1" s="1" t="s">
        <v>266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267</v>
      </c>
      <c r="B2" s="2" t="s">
        <v>268</v>
      </c>
      <c r="C2" s="2" t="s">
        <v>269</v>
      </c>
      <c r="D2" s="2" t="s">
        <v>270</v>
      </c>
      <c r="E2" s="2" t="s">
        <v>271</v>
      </c>
      <c r="F2" s="2" t="s">
        <v>272</v>
      </c>
      <c r="G2" s="2" t="s">
        <v>273</v>
      </c>
      <c r="H2" s="2" t="s">
        <v>274</v>
      </c>
      <c r="I2" s="2" t="s">
        <v>275</v>
      </c>
      <c r="J2" s="2" t="s">
        <v>276</v>
      </c>
    </row>
    <row r="3" customFormat="false" ht="15" hidden="false" customHeight="false" outlineLevel="0" collapsed="false">
      <c r="A3" s="4" t="s">
        <v>277</v>
      </c>
      <c r="B3" s="29" t="n">
        <v>0.4</v>
      </c>
      <c r="C3" s="4" t="n">
        <v>8</v>
      </c>
      <c r="D3" s="30" t="n">
        <v>3.2</v>
      </c>
      <c r="E3" s="4" t="n">
        <v>9</v>
      </c>
      <c r="F3" s="30" t="n">
        <v>3.6</v>
      </c>
      <c r="G3" s="4" t="n">
        <v>6</v>
      </c>
      <c r="H3" s="30" t="n">
        <v>2.4</v>
      </c>
      <c r="I3" s="4" t="s">
        <v>278</v>
      </c>
      <c r="J3" s="4" t="s">
        <v>279</v>
      </c>
    </row>
    <row r="4" customFormat="false" ht="15" hidden="false" customHeight="false" outlineLevel="0" collapsed="false">
      <c r="A4" s="9" t="s">
        <v>280</v>
      </c>
      <c r="B4" s="31" t="n">
        <v>0.2</v>
      </c>
      <c r="C4" s="9" t="n">
        <v>7</v>
      </c>
      <c r="D4" s="32" t="n">
        <v>1.4</v>
      </c>
      <c r="E4" s="9" t="n">
        <v>6</v>
      </c>
      <c r="F4" s="32" t="n">
        <v>1.2</v>
      </c>
      <c r="G4" s="9" t="n">
        <v>8</v>
      </c>
      <c r="H4" s="32" t="n">
        <v>1.6</v>
      </c>
      <c r="I4" s="9" t="s">
        <v>281</v>
      </c>
      <c r="J4" s="9" t="s">
        <v>282</v>
      </c>
    </row>
    <row r="5" customFormat="false" ht="15" hidden="false" customHeight="false" outlineLevel="0" collapsed="false">
      <c r="A5" s="4" t="s">
        <v>283</v>
      </c>
      <c r="B5" s="29" t="n">
        <v>0.15</v>
      </c>
      <c r="C5" s="4" t="n">
        <v>7</v>
      </c>
      <c r="D5" s="30" t="n">
        <v>1.05</v>
      </c>
      <c r="E5" s="4" t="n">
        <v>6</v>
      </c>
      <c r="F5" s="30" t="n">
        <v>0.9</v>
      </c>
      <c r="G5" s="4" t="n">
        <v>8</v>
      </c>
      <c r="H5" s="30" t="n">
        <v>1.2</v>
      </c>
      <c r="I5" s="4" t="s">
        <v>284</v>
      </c>
      <c r="J5" s="4" t="s">
        <v>285</v>
      </c>
    </row>
    <row r="6" customFormat="false" ht="15" hidden="false" customHeight="false" outlineLevel="0" collapsed="false">
      <c r="A6" s="9" t="s">
        <v>286</v>
      </c>
      <c r="B6" s="31" t="n">
        <v>0.15</v>
      </c>
      <c r="C6" s="9" t="n">
        <v>9</v>
      </c>
      <c r="D6" s="32" t="n">
        <v>1.35</v>
      </c>
      <c r="E6" s="9" t="n">
        <v>7</v>
      </c>
      <c r="F6" s="32" t="n">
        <v>1.05</v>
      </c>
      <c r="G6" s="9" t="n">
        <v>9</v>
      </c>
      <c r="H6" s="32" t="n">
        <v>1.35</v>
      </c>
      <c r="I6" s="9" t="s">
        <v>287</v>
      </c>
      <c r="J6" s="9" t="s">
        <v>288</v>
      </c>
    </row>
    <row r="7" customFormat="false" ht="15" hidden="false" customHeight="false" outlineLevel="0" collapsed="false">
      <c r="A7" s="4" t="s">
        <v>289</v>
      </c>
      <c r="B7" s="29" t="n">
        <v>0.1</v>
      </c>
      <c r="C7" s="4" t="n">
        <v>5</v>
      </c>
      <c r="D7" s="30" t="n">
        <v>0.5</v>
      </c>
      <c r="E7" s="4" t="n">
        <v>5</v>
      </c>
      <c r="F7" s="30" t="n">
        <v>0.5</v>
      </c>
      <c r="G7" s="4" t="n">
        <v>8</v>
      </c>
      <c r="H7" s="30" t="n">
        <v>0.8</v>
      </c>
      <c r="I7" s="4" t="s">
        <v>290</v>
      </c>
      <c r="J7" s="4" t="s">
        <v>291</v>
      </c>
    </row>
    <row r="8" customFormat="false" ht="15" hidden="false" customHeight="false" outlineLevel="0" collapsed="false">
      <c r="A8" s="33" t="s">
        <v>292</v>
      </c>
      <c r="B8" s="34" t="n">
        <f aca="false">SUM(B3:B7)</f>
        <v>1</v>
      </c>
      <c r="C8" s="33"/>
      <c r="D8" s="35" t="n">
        <f aca="false">SUM(D3:D7)</f>
        <v>7.5</v>
      </c>
      <c r="E8" s="33"/>
      <c r="F8" s="35" t="n">
        <f aca="false">SUM(F3:F7)</f>
        <v>7.25</v>
      </c>
      <c r="G8" s="33"/>
      <c r="H8" s="35" t="n">
        <f aca="false">SUM(H3:H7)</f>
        <v>7.35</v>
      </c>
      <c r="I8" s="33"/>
      <c r="J8" s="33"/>
    </row>
    <row r="10" customFormat="false" ht="19.5" hidden="false" customHeight="true" outlineLevel="0" collapsed="false">
      <c r="A10" s="15" t="s">
        <v>293</v>
      </c>
      <c r="B10" s="15"/>
      <c r="C10" s="15"/>
      <c r="D10" s="15"/>
      <c r="E10" s="15"/>
      <c r="F10" s="15"/>
      <c r="G10" s="15"/>
      <c r="H10" s="15"/>
      <c r="I10" s="15"/>
      <c r="J10" s="15"/>
    </row>
    <row r="11" customFormat="false" ht="39.75" hidden="false" customHeight="true" outlineLevel="0" collapsed="false">
      <c r="A11" s="36" t="s">
        <v>294</v>
      </c>
      <c r="B11" s="36"/>
      <c r="C11" s="36"/>
      <c r="D11" s="36"/>
      <c r="E11" s="36"/>
      <c r="F11" s="36"/>
      <c r="G11" s="36"/>
      <c r="H11" s="36"/>
      <c r="I11" s="36"/>
      <c r="J11" s="36"/>
    </row>
  </sheetData>
  <mergeCells count="3">
    <mergeCell ref="A1:J1"/>
    <mergeCell ref="A10:J10"/>
    <mergeCell ref="A11:J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2026-06-28T09:32:21Z</dcterms:created>
  <dc:creator>openpyxl</dc:creator>
  <dc:description/>
  <dc:language>en-US</dc:language>
  <cp:lastModifiedBy/>
  <dcterms:modified xsi:type="dcterms:W3CDTF">2026-06-28T09:32:21Z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